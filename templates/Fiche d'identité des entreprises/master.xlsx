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templates\Fiche d'identité des entreprises\"/>
    </mc:Choice>
  </mc:AlternateContent>
  <xr:revisionPtr revIDLastSave="0" documentId="13_ncr:1_{F2BC591E-DBBD-47F0-8B0F-63361337E1FA}" xr6:coauthVersionLast="47" xr6:coauthVersionMax="47" xr10:uidLastSave="{00000000-0000-0000-0000-000000000000}"/>
  <bookViews>
    <workbookView xWindow="4155" yWindow="4155" windowWidth="21600" windowHeight="11295" firstSheet="1" activeTab="6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 a="1"/>
  <c r="B11" i="10" s="1"/>
  <c r="A11" i="10" a="1"/>
  <c r="A11" i="10" s="1"/>
  <c r="E19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<sst xmlns="http://schemas.openxmlformats.org/spreadsheetml/2006/main" count="234" uniqueCount="163">
  <si>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</si>
  <si>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</si>
  <si>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</si>
  <si>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</si>
  <si>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</si>
  <si>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</si>
  <si>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</si>
  <si>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</si>
  <si>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</si>
  <si>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</si>
  <si>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</si>
  <si>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</si>
  <si>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</si>
  <si>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</si>
  <si>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</si>
  <si>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</si>
  <si>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</si>
  <si>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</si>
  <si>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</si>
  <si>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</si>
  <si>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</si>
  <si>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</si>
  <si>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</si>
  <si>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</si>
  <si>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</si>
  <si>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</si>
  <si>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</si>
  <si>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</si>
  <si>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</si>
  <si>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</si>
  <si>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</si>
  <si>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</si>
  <si>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</si>
  <si>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</si>
  <si>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</si>
  <si>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</si>
  <si>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</si>
  <si>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</si>
  <si>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</si>
  <si>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</si>
  <si>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</si>
  <si>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</si>
  <si>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Entreprises.Nom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</si>
  <si>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</si>
  <si>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</si>
  <si>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</si>
  <si>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</si>
  <si>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</si>
  <si>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</si>
  <si>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</si>
  <si>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</si>
  <si>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</si>
  <si>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</si>
  <si>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</si>
  <si>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</si>
  <si>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</si>
  <si>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</si>
  <si>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</si>
  <si>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</si>
  <si>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</si>
  <si>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</si>
  <si>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</si>
  <si>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</si>
  <si>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</si>
  <si>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</si>
  <si>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</si>
  <si>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</si>
  <si>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</si>
  <si>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</si>
  <si>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</si>
  <si>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</si>
  <si>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</si>
  <si>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</si>
  <si>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</si>
  <si>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</si>
  <si>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</si>
  <si>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</si>
  <si>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</si>
  <si>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</si>
  <si>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</si>
  <si>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</si>
  <si>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</si>
  <si>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</si>
  <si>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</si>
  <si>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</si>
  <si>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</si>
  <si>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</si>
  <si>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</si>
  <si>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</si>
  <si>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</si>
  <si>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</si>
  <si>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</si>
  <si>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</si>
  <si>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</si>
  <si>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</si>
  <si>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</si>
  <si>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</si>
  <si>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</si>
  <si>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</si>
  <si>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</si>
  <si>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</si>
  <si>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</si>
  <si>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</si>
  <si>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</si>
  <si>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</si>
  <si>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</si>
  <si>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</si>
  <si>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</si>
  <si>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</si>
  <si>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</si>
  <si>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</si>
  <si>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</si>
  <si>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</si>
  <si>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</si>
  <si>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</si>
  <si>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</si>
  <si>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</si>
  <si>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</si>
  <si>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</si>
  <si>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</si>
  <si>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</si>
  <si>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</si>
  <si>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</si>
  <si>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</si>
  <si>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</si>
  <si>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</si>
  <si>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</si>
  <si>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</si>
  <si>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</si>
  <si>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</si>
  <si>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</si>
  <si>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Entreprises.Activité</t>
  </si>
  <si>
    <t>Entreprises.Activité détaillée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</si>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</sst>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Z2" totalsRowShown="0">
  <autoFilter ref="A1:Z2" xr:uid="{79E1CCFD-C29F-4239-8558-4F70F8B05FAD}"/>
  <tableColumns count="26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Entreprises.Nom" dataDxfId="11"/>
    <tableColumn id="25" xr3:uid="{03B03CBA-639B-4937-9583-2135A393ADA7}" name="Entreprises.Activité"/>
    <tableColumn id="26" xr3:uid="{011A9113-0055-4B4B-9BB8-F00CE3094B88}" name="Entreprises.Activité détaillé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19" totalsRowShown="0" headerRowDxfId="10" dataDxfId="9">
  <autoFilter ref="C4:E1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Z2"/>
  <sheetViews>
    <sheetView workbookViewId="0">
      <selection sqref="A1:Z2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66.109375" bestFit="1" customWidth="1"/>
    <col min="26" max="26" width="56.21875" bestFit="1" customWidth="1"/>
  </cols>
  <sheetData>
    <row r="1" spans="1:26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131</v>
      </c>
      <c r="Z1" t="s">
        <v>132</v>
      </c>
    </row>
    <row r="2" spans="1:26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133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134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43</v>
      </c>
      <c r="X2" t="s">
        <v>87</v>
      </c>
      <c r="Y2" t="s">
        <v>83</v>
      </c>
      <c r="Z2" t="s">
        <v>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127</v>
      </c>
      <c r="E10" s="42" t="s">
        <v>128</v>
      </c>
      <c r="F10" t="s">
        <v>65</v>
      </c>
      <c r="H10" s="8" t="s">
        <v>45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_xlfn.UNIQUE(Performance[siren])</f>
        <v>476480330</v>
      </c>
      <c r="C11" s="44" t="str" cm="1">
        <f t="array" ref="C11">INDEX(Performance[Entreprises.Nom],MATCH(_xlfn.ANCHORARRAY($B$11),Performance[siren],0))</f>
        <v>LUTTI</v>
      </c>
      <c r="D11" s="44" t="str" cm="1">
        <f t="array" ref="D11">INDEX(Performance[Entreprises.Activité],MATCH(_xlfn.ANCHORARRAY($B$11),Performance[siren],0))</f>
        <v>Fabrication d'autres produits alimentaires</v>
      </c>
      <c r="E11" s="44" t="str" cm="1">
        <f t="array" ref="E11">INDEX(Performance[Entreprises.Activité détaillée],MATCH(_xlfn.ANCHORARRAY($B$11),Performance[siren],0))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_xlfn.SORTBY(_xlfn._xlws.FILTER(Performance[date_cloture_exercice],Performance[Entreprises.Nom]=Entreprise),_xlfn._xlws.FILTER(Performance[date_cloture_exercice],Performance[Entreprises.Nom]=Entreprise),1)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127</v>
      </c>
      <c r="B1" t="s">
        <v>128</v>
      </c>
      <c r="C1" t="s">
        <v>137</v>
      </c>
    </row>
    <row r="2" spans="1:3" x14ac:dyDescent="0.35">
      <c r="A2" t="s">
        <v>79</v>
      </c>
      <c r="B2" t="s">
        <v>80</v>
      </c>
      <c r="C2" t="s">
        <v>138</v>
      </c>
    </row>
    <row r="3" spans="1:3" x14ac:dyDescent="0.35">
      <c r="A3" t="s">
        <v>79</v>
      </c>
      <c r="B3" t="s">
        <v>81</v>
      </c>
      <c r="C3" t="s">
        <v>138</v>
      </c>
    </row>
    <row r="4" spans="1:3" x14ac:dyDescent="0.35">
      <c r="A4" t="s">
        <v>79</v>
      </c>
      <c r="B4" t="s">
        <v>82</v>
      </c>
      <c r="C4" t="s">
        <v>138</v>
      </c>
    </row>
    <row r="5" spans="1:3" x14ac:dyDescent="0.35">
      <c r="A5" t="s">
        <v>83</v>
      </c>
      <c r="B5" t="s">
        <v>84</v>
      </c>
      <c r="C5" t="s">
        <v>139</v>
      </c>
    </row>
    <row r="6" spans="1:3" x14ac:dyDescent="0.35">
      <c r="A6" t="s">
        <v>83</v>
      </c>
      <c r="B6" t="s">
        <v>85</v>
      </c>
      <c r="C6" t="s">
        <v>139</v>
      </c>
    </row>
    <row r="7" spans="1:3" x14ac:dyDescent="0.35">
      <c r="A7" t="s">
        <v>83</v>
      </c>
      <c r="B7" t="s">
        <v>86</v>
      </c>
      <c r="C7" t="s">
        <v>140</v>
      </c>
    </row>
    <row r="8" spans="1:3" x14ac:dyDescent="0.35">
      <c r="A8" t="s">
        <v>83</v>
      </c>
      <c r="B8" t="s">
        <v>88</v>
      </c>
      <c r="C8" t="s">
        <v>139</v>
      </c>
    </row>
    <row r="9" spans="1:3" x14ac:dyDescent="0.35">
      <c r="A9" t="s">
        <v>83</v>
      </c>
      <c r="B9" t="s">
        <v>89</v>
      </c>
      <c r="C9" t="s">
        <v>139</v>
      </c>
    </row>
    <row r="10" spans="1:3" x14ac:dyDescent="0.35">
      <c r="A10" t="s">
        <v>83</v>
      </c>
      <c r="B10" t="s">
        <v>90</v>
      </c>
      <c r="C10" t="s">
        <v>141</v>
      </c>
    </row>
    <row r="11" spans="1:3" x14ac:dyDescent="0.35">
      <c r="A11" t="s">
        <v>83</v>
      </c>
      <c r="B11" t="s">
        <v>91</v>
      </c>
      <c r="C11" t="s">
        <v>145</v>
      </c>
    </row>
    <row r="12" spans="1:3" x14ac:dyDescent="0.35">
      <c r="A12" t="s">
        <v>92</v>
      </c>
      <c r="B12" t="s">
        <v>93</v>
      </c>
      <c r="C12" t="s">
        <v>142</v>
      </c>
    </row>
    <row r="13" spans="1:3" x14ac:dyDescent="0.35">
      <c r="A13" t="s">
        <v>92</v>
      </c>
      <c r="B13" t="s">
        <v>94</v>
      </c>
      <c r="C13" t="s">
        <v>142</v>
      </c>
    </row>
    <row r="14" spans="1:3" x14ac:dyDescent="0.35">
      <c r="A14" t="s">
        <v>92</v>
      </c>
      <c r="B14" t="s">
        <v>95</v>
      </c>
      <c r="C14" t="s">
        <v>142</v>
      </c>
    </row>
    <row r="15" spans="1:3" x14ac:dyDescent="0.35">
      <c r="A15" t="s">
        <v>92</v>
      </c>
      <c r="B15" t="s">
        <v>96</v>
      </c>
      <c r="C15" t="s">
        <v>146</v>
      </c>
    </row>
    <row r="16" spans="1:3" x14ac:dyDescent="0.35">
      <c r="A16" t="s">
        <v>92</v>
      </c>
      <c r="B16" t="s">
        <v>97</v>
      </c>
      <c r="C16" t="s">
        <v>143</v>
      </c>
    </row>
    <row r="17" spans="1:3" x14ac:dyDescent="0.35">
      <c r="A17" t="s">
        <v>92</v>
      </c>
      <c r="B17" t="s">
        <v>98</v>
      </c>
      <c r="C17" t="s">
        <v>147</v>
      </c>
    </row>
    <row r="18" spans="1:3" x14ac:dyDescent="0.35">
      <c r="A18" t="s">
        <v>92</v>
      </c>
      <c r="B18" t="s">
        <v>99</v>
      </c>
      <c r="C18" t="s">
        <v>143</v>
      </c>
    </row>
    <row r="19" spans="1:3" x14ac:dyDescent="0.35">
      <c r="A19" t="s">
        <v>92</v>
      </c>
      <c r="B19" t="s">
        <v>100</v>
      </c>
      <c r="C19" t="s">
        <v>146</v>
      </c>
    </row>
    <row r="20" spans="1:3" x14ac:dyDescent="0.35">
      <c r="A20" t="s">
        <v>101</v>
      </c>
      <c r="B20" t="s">
        <v>102</v>
      </c>
      <c r="C20" t="s">
        <v>144</v>
      </c>
    </row>
    <row r="21" spans="1:3" x14ac:dyDescent="0.35">
      <c r="A21" t="s">
        <v>101</v>
      </c>
      <c r="B21" t="s">
        <v>103</v>
      </c>
      <c r="C21" t="s">
        <v>144</v>
      </c>
    </row>
    <row r="22" spans="1:3" x14ac:dyDescent="0.35">
      <c r="A22" t="s">
        <v>101</v>
      </c>
      <c r="B22" t="s">
        <v>104</v>
      </c>
      <c r="C22" t="s">
        <v>144</v>
      </c>
    </row>
    <row r="23" spans="1:3" x14ac:dyDescent="0.35">
      <c r="A23" t="s">
        <v>101</v>
      </c>
      <c r="B23" t="s">
        <v>105</v>
      </c>
      <c r="C23" t="s">
        <v>148</v>
      </c>
    </row>
    <row r="24" spans="1:3" x14ac:dyDescent="0.35">
      <c r="A24" t="s">
        <v>101</v>
      </c>
      <c r="B24" t="s">
        <v>106</v>
      </c>
      <c r="C24" t="s">
        <v>144</v>
      </c>
    </row>
    <row r="25" spans="1:3" x14ac:dyDescent="0.35">
      <c r="A25" t="s">
        <v>107</v>
      </c>
      <c r="B25" t="s">
        <v>108</v>
      </c>
      <c r="C25" t="s">
        <v>149</v>
      </c>
    </row>
    <row r="26" spans="1:3" x14ac:dyDescent="0.35">
      <c r="A26" t="s">
        <v>107</v>
      </c>
      <c r="B26" t="s">
        <v>109</v>
      </c>
      <c r="C26" t="s">
        <v>149</v>
      </c>
    </row>
    <row r="27" spans="1:3" x14ac:dyDescent="0.35">
      <c r="A27" t="s">
        <v>107</v>
      </c>
      <c r="B27" t="s">
        <v>110</v>
      </c>
      <c r="C27" t="s">
        <v>149</v>
      </c>
    </row>
    <row r="28" spans="1:3" x14ac:dyDescent="0.35">
      <c r="A28" t="s">
        <v>107</v>
      </c>
      <c r="B28" t="s">
        <v>111</v>
      </c>
      <c r="C28" t="s">
        <v>150</v>
      </c>
    </row>
    <row r="29" spans="1:3" x14ac:dyDescent="0.35">
      <c r="A29" t="s">
        <v>107</v>
      </c>
      <c r="B29" t="s">
        <v>112</v>
      </c>
      <c r="C29" t="s">
        <v>149</v>
      </c>
    </row>
    <row r="30" spans="1:3" x14ac:dyDescent="0.35">
      <c r="A30" t="s">
        <v>113</v>
      </c>
      <c r="B30" t="s">
        <v>114</v>
      </c>
      <c r="C30" t="s">
        <v>151</v>
      </c>
    </row>
    <row r="31" spans="1:3" x14ac:dyDescent="0.35">
      <c r="A31" t="s">
        <v>113</v>
      </c>
      <c r="B31" t="s">
        <v>115</v>
      </c>
      <c r="C31" t="s">
        <v>151</v>
      </c>
    </row>
    <row r="32" spans="1:3" x14ac:dyDescent="0.35">
      <c r="A32" t="s">
        <v>113</v>
      </c>
      <c r="B32" t="s">
        <v>116</v>
      </c>
      <c r="C32" t="s">
        <v>151</v>
      </c>
    </row>
    <row r="33" spans="1:3" x14ac:dyDescent="0.35">
      <c r="A33" t="s">
        <v>113</v>
      </c>
      <c r="B33" t="s">
        <v>117</v>
      </c>
      <c r="C33" t="s">
        <v>151</v>
      </c>
    </row>
    <row r="34" spans="1:3" x14ac:dyDescent="0.35">
      <c r="A34" t="s">
        <v>118</v>
      </c>
      <c r="B34" t="s">
        <v>119</v>
      </c>
      <c r="C34" t="s">
        <v>152</v>
      </c>
    </row>
    <row r="35" spans="1:3" x14ac:dyDescent="0.35">
      <c r="A35" t="s">
        <v>118</v>
      </c>
      <c r="B35" t="s">
        <v>120</v>
      </c>
      <c r="C35" t="s">
        <v>152</v>
      </c>
    </row>
    <row r="36" spans="1:3" x14ac:dyDescent="0.35">
      <c r="A36" t="s">
        <v>118</v>
      </c>
      <c r="B36" t="s">
        <v>121</v>
      </c>
      <c r="C36" t="s">
        <v>152</v>
      </c>
    </row>
    <row r="37" spans="1:3" x14ac:dyDescent="0.35">
      <c r="A37" t="s">
        <v>122</v>
      </c>
      <c r="B37" t="s">
        <v>122</v>
      </c>
      <c r="C37" t="s">
        <v>153</v>
      </c>
    </row>
    <row r="38" spans="1:3" x14ac:dyDescent="0.35">
      <c r="A38" t="s">
        <v>123</v>
      </c>
      <c r="B38" t="s">
        <v>124</v>
      </c>
      <c r="C38" t="s">
        <v>154</v>
      </c>
    </row>
    <row r="39" spans="1:3" x14ac:dyDescent="0.35">
      <c r="A39" t="s">
        <v>123</v>
      </c>
      <c r="B39" t="s">
        <v>125</v>
      </c>
      <c r="C39" t="s">
        <v>154</v>
      </c>
    </row>
    <row r="40" spans="1:3" x14ac:dyDescent="0.35">
      <c r="A40" t="s">
        <v>123</v>
      </c>
      <c r="B40" t="s">
        <v>126</v>
      </c>
      <c r="C40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3"/>
  <sheetViews>
    <sheetView showGridLines="0" zoomScaleNormal="100" workbookViewId="0">
      <selection activeCell="E7" sqref="E7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135</v>
      </c>
      <c r="D5" s="37" t="s">
        <v>136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55</v>
      </c>
      <c r="D7" s="12" t="s">
        <v>56</v>
      </c>
      <c r="E7" s="29">
        <f>INDEX(Performance[siren],MATCH(Entreprise,Performance[Entreprises.Nom],0))</f>
        <v>476480330</v>
      </c>
    </row>
    <row r="8" spans="3:5" x14ac:dyDescent="0.35">
      <c r="C8" s="12" t="s">
        <v>64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160</v>
      </c>
      <c r="D9" s="12" t="s">
        <v>161</v>
      </c>
      <c r="E9" s="27">
        <f>Analyse!$AA$5</f>
        <v>-4.5226629920854071E-2</v>
      </c>
    </row>
    <row r="10" spans="3:5" x14ac:dyDescent="0.35">
      <c r="C10" s="12" t="s">
        <v>68</v>
      </c>
      <c r="D10" s="12" t="s">
        <v>162</v>
      </c>
      <c r="E10" s="26">
        <f>SUMIFS(Performance[Resultat_net],Performance[Entreprises.Nom],Entreprise,Performance[date_cloture_exercice],Analyse!$E$3)</f>
        <v>-2924242</v>
      </c>
    </row>
    <row r="11" spans="3:5" x14ac:dyDescent="0.35">
      <c r="C11" s="12" t="s">
        <v>158</v>
      </c>
      <c r="D11" s="12" t="s">
        <v>159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57</v>
      </c>
      <c r="D12" s="12" t="s">
        <v>66</v>
      </c>
      <c r="E12" s="31" t="str">
        <f>Analyse!$G$4</f>
        <v>NA</v>
      </c>
    </row>
    <row r="13" spans="3:5" x14ac:dyDescent="0.35">
      <c r="C13" s="12" t="s">
        <v>58</v>
      </c>
      <c r="D13" s="12" t="s">
        <v>67</v>
      </c>
      <c r="E13" s="31" t="str">
        <f>Analyse!$R$4</f>
        <v>NA</v>
      </c>
    </row>
    <row r="14" spans="3:5" x14ac:dyDescent="0.35">
      <c r="C14" s="12" t="s">
        <v>59</v>
      </c>
      <c r="D14" s="12" t="s">
        <v>61</v>
      </c>
      <c r="E14" s="32">
        <f>MIN(_xlfn.ANCHORARRAY(Analyse!$E$7))</f>
        <v>2020</v>
      </c>
    </row>
    <row r="15" spans="3:5" x14ac:dyDescent="0.35">
      <c r="C15" s="12" t="s">
        <v>60</v>
      </c>
      <c r="D15" s="12" t="s">
        <v>62</v>
      </c>
      <c r="E15" s="32">
        <f>MAX(_xlfn.ANCHORARRAY(Analyse!$E$7))</f>
        <v>2020</v>
      </c>
    </row>
    <row r="16" spans="3:5" x14ac:dyDescent="0.35">
      <c r="C16" s="12" t="s">
        <v>129</v>
      </c>
      <c r="D16" s="12"/>
      <c r="E16" s="32" t="str">
        <f>INDEX(Performance[Entreprises.Activité],MATCH(siren,Performance[siren],0))</f>
        <v>Fabrication d'autres produits alimentaires</v>
      </c>
    </row>
    <row r="17" spans="3:5" x14ac:dyDescent="0.35">
      <c r="C17" s="12" t="s">
        <v>130</v>
      </c>
      <c r="D17" s="12"/>
      <c r="E17" s="32" t="str">
        <f>INDEX(Performance[Entreprises.Activité détaillée],MATCH(siren,Performance[siren],0))</f>
        <v>Fabrication de cacao, chocolat et de produits de confiserie</v>
      </c>
    </row>
    <row r="18" spans="3:5" x14ac:dyDescent="0.35">
      <c r="C18" s="12" t="s">
        <v>155</v>
      </c>
      <c r="D18" s="12"/>
      <c r="E18" s="32" t="str">
        <f>INDEX(Image!$C:$C,MATCH($E$17,Image!B:B,0))</f>
        <v>Cacao</v>
      </c>
    </row>
    <row r="19" spans="3:5" x14ac:dyDescent="0.35">
      <c r="C19" s="12" t="s">
        <v>5</v>
      </c>
      <c r="D19" s="12" t="s">
        <v>44</v>
      </c>
      <c r="E19" s="20">
        <f ca="1">TODAY()</f>
        <v>45935</v>
      </c>
    </row>
    <row r="20" spans="3:5" x14ac:dyDescent="0.35">
      <c r="C20" s="12"/>
      <c r="D20" s="12"/>
      <c r="E20" s="20"/>
    </row>
    <row r="21" spans="3:5" x14ac:dyDescent="0.35">
      <c r="C21" s="10"/>
      <c r="E21" s="11"/>
    </row>
    <row r="22" spans="3:5" x14ac:dyDescent="0.35">
      <c r="C22" s="10"/>
    </row>
    <row r="23" spans="3:5" x14ac:dyDescent="0.35">
      <c r="C23" s="10"/>
      <c r="E23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tabSelected="1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156</v>
      </c>
    </row>
    <row r="3" spans="2:5" x14ac:dyDescent="0.35">
      <c r="B3" s="2" t="s">
        <v>0</v>
      </c>
      <c r="C3" s="1" t="s">
        <v>157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v>4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73</v>
      </c>
      <c r="AI3" t="s">
        <v>72</v>
      </c>
      <c r="AJ3" t="s">
        <v>74</v>
      </c>
      <c r="AK3" t="s">
        <v>75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70</v>
      </c>
      <c r="AA4" s="33">
        <f>SUMIFS(Performance[EBE],Performance[Entreprises.Nom],Entreprise,Performance[date_cloture_exercice],$E$3)/
SUMIFS(Performance[Chiffre_d_affaires],Performance[Entreprises.Nom],Entreprise,Performance[date_cloture_exercice],$E$3)</f>
        <v>-9.3437831196943724E-2</v>
      </c>
      <c r="AB4" s="30">
        <f>1-AA4</f>
        <v>1.0934378311969437</v>
      </c>
      <c r="AE4" t="s">
        <v>47</v>
      </c>
      <c r="AF4" s="28">
        <f>SUMIFS(Performance[Chiffre_d_affaires],Performance[Entreprises.Nom],Entreprise,Performance[date_cloture_exercice],$E$3)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69</v>
      </c>
      <c r="AA5" s="33">
        <f>SUMIFS(Performance[Resultat_net],Performance[Entreprises.Nom],Entreprise,Performance[date_cloture_exercice],$E$3)/
SUMIFS(Performance[Chiffre_d_affaires],Performance[Entreprises.Nom],Entreprise,Performance[date_cloture_exercice],$E$3)</f>
        <v>-4.5226629920854071E-2</v>
      </c>
      <c r="AB5" s="30">
        <f>1-AA5</f>
        <v>1.0452266299208541</v>
      </c>
      <c r="AE5" t="s">
        <v>76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46</v>
      </c>
      <c r="C6" s="26" t="s">
        <v>47</v>
      </c>
      <c r="D6" s="24" t="s">
        <v>48</v>
      </c>
      <c r="E6" s="24" t="s">
        <v>49</v>
      </c>
      <c r="F6" s="26" t="s">
        <v>50</v>
      </c>
      <c r="G6" s="24" t="s">
        <v>51</v>
      </c>
      <c r="H6" s="24" t="s">
        <v>53</v>
      </c>
      <c r="I6" s="24" t="s">
        <v>54</v>
      </c>
      <c r="J6" s="24" t="s">
        <v>52</v>
      </c>
      <c r="K6" s="24"/>
      <c r="M6" s="25" t="s">
        <v>46</v>
      </c>
      <c r="N6" s="26" t="s">
        <v>23</v>
      </c>
      <c r="O6" s="24" t="s">
        <v>48</v>
      </c>
      <c r="P6" s="24" t="s">
        <v>49</v>
      </c>
      <c r="Q6" s="26" t="s">
        <v>50</v>
      </c>
      <c r="R6" s="24" t="s">
        <v>51</v>
      </c>
      <c r="S6" s="24" t="s">
        <v>53</v>
      </c>
      <c r="T6" s="24" t="s">
        <v>54</v>
      </c>
      <c r="U6" s="24" t="s">
        <v>52</v>
      </c>
      <c r="V6" s="24" t="s">
        <v>23</v>
      </c>
      <c r="W6" s="4" t="s">
        <v>63</v>
      </c>
      <c r="AE6" t="s">
        <v>71</v>
      </c>
      <c r="AF6" s="28">
        <f>SUMIFS(Performance[Marge_brute],Performance[Entreprises.Nom],Entreprise,Performance[date_cloture_exercice],$E$3)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SUMIFS(Performance[Chiffre_d_affaires],Performance[Entreprises.Nom],Entreprise,Performance[date_cloture_exercice],_xlfn.ANCHORARRAY($B7))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SUMIFS(Performance[EBE],Performance[Entreprises.Nom],Entreprise,Performance[date_cloture_exercice],_xlfn.ANCHORARRAY($B7))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SUMIFS(Performance[EBE],Performance[Entreprises.Nom],Entreprise,Performance[date_cloture_exercice],_xlfn.ANCHORARRAY($B7))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77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SUMIFS(Performance[EBE],Performance[Entreprises.Nom],Entreprise,Performance[date_cloture_exercice],$E$3)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78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69</v>
      </c>
      <c r="AF10" s="28">
        <f>SUMIFS(Performance[Resultat_net],Performance[Entreprises.Nom],Entreprise,Performance[date_cloture_exercice],$E$3)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2025-10-05T21:18:17Z</dcterms:modified>
</cp:coreProperties>
</file>