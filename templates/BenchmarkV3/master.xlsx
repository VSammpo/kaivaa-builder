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mosch\Bureau\KAIVAA\kaivaa-builder\templates\BenchmarkV3\"/>
    </mc:Choice>
  </mc:AlternateContent>
  <xr:revisionPtr revIDLastSave="0" documentId="13_ncr:1_{4F585FB9-3A52-4854-B31A-81DA6A58A514}" xr6:coauthVersionLast="47" xr6:coauthVersionMax="47" xr10:uidLastSave="{00000000-0000-0000-0000-000000000000}"/>
  <bookViews>
    <workbookView xWindow="-120" yWindow="-120" windowWidth="29040" windowHeight="15720" firstSheet="1" activeTab="1" xr2:uid="{1FFF5854-B54B-4C80-B65C-C43C5EF7384C}"/>
  </bookViews>
  <sheets>
    <sheet name="DONNÉES BRUTES" sheetId="26" r:id="rId1"/>
    <sheet name="Performance" sheetId="45" r:id="rId2"/>
    <sheet name="SETTINGS" sheetId="27" r:id="rId3"/>
    <sheet name="Listes" sheetId="10" r:id="rId4"/>
    <sheet name="Image" sheetId="47" r:id="rId5"/>
    <sheet name="Balises" sheetId="9" r:id="rId6"/>
    <sheet name="Charts_settings" sheetId="5" r:id="rId7"/>
    <sheet name="Analyse" sheetId="46" r:id="rId8"/>
    <sheet name="Table" sheetId="36" r:id="rId9"/>
  </sheets>
  <definedNames>
    <definedName name="_xlnm._FilterDatabase" localSheetId="3" hidden="1">#REF!</definedName>
    <definedName name="Années">_xlfn.ANCHORARRAY(Listes!$H$11)</definedName>
    <definedName name="Entreprise">Balises!$E$6</definedName>
    <definedName name="Loop_parameters">Charts_settings!$B$6:$E$6</definedName>
    <definedName name="Périodes">Balises!$E$6</definedName>
    <definedName name="s_produit">Charts_settings!$E$6</definedName>
    <definedName name="siren">Balises!$E$7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10" l="1" a="1"/>
  <c r="B11" i="10" s="1"/>
  <c r="A11" i="10" a="1"/>
  <c r="A11" i="10" s="1"/>
  <c r="E19" i="9"/>
  <c r="E11" i="10" l="1" a="1"/>
  <c r="E11" i="10" s="1"/>
  <c r="D11" i="10" a="1"/>
  <c r="D11" i="10" s="1"/>
  <c r="C11" i="10" a="1"/>
  <c r="C11" i="10" s="1"/>
  <c r="E6" i="5" s="1" a="1"/>
  <c r="E6" i="5" s="1"/>
  <c r="E6" i="9" s="1"/>
  <c r="H11" i="10" s="1" a="1"/>
  <c r="H11" i="10" s="1"/>
  <c r="F11" i="10" a="1"/>
  <c r="F11" i="10" s="1"/>
  <c r="M4" i="46" l="1"/>
  <c r="B4" i="46"/>
  <c r="E7" i="9"/>
  <c r="B7" i="46" a="1"/>
  <c r="B7" i="46" s="1"/>
  <c r="M7" i="46" a="1"/>
  <c r="M7" i="46" s="1"/>
  <c r="P7" i="46" s="1" a="1"/>
  <c r="P7" i="46" s="1"/>
  <c r="E16" i="9" l="1"/>
  <c r="E17" i="9"/>
  <c r="E18" i="9" s="1"/>
  <c r="C7" i="46" a="1"/>
  <c r="C7" i="46" s="1"/>
  <c r="E3" i="46"/>
  <c r="E10" i="9" s="1"/>
  <c r="E2" i="46"/>
  <c r="E7" i="46" a="1"/>
  <c r="E7" i="46" s="1"/>
  <c r="N7" i="46" a="1"/>
  <c r="N7" i="46" s="1"/>
  <c r="V7" i="46" a="1"/>
  <c r="V7" i="46" s="1"/>
  <c r="W7" i="46" l="1" a="1"/>
  <c r="W7" i="46" s="1"/>
  <c r="AF10" i="46"/>
  <c r="AF6" i="46"/>
  <c r="AF8" i="46"/>
  <c r="AA4" i="46"/>
  <c r="E8" i="9" s="1"/>
  <c r="AF4" i="46"/>
  <c r="AG4" i="46" s="1"/>
  <c r="AH4" i="46" s="1"/>
  <c r="AA5" i="46"/>
  <c r="F3" i="46"/>
  <c r="G3" i="46" s="1"/>
  <c r="F2" i="46"/>
  <c r="E15" i="9"/>
  <c r="E11" i="9" s="1"/>
  <c r="E14" i="9"/>
  <c r="Q2" i="46"/>
  <c r="R2" i="46" s="1"/>
  <c r="Q3" i="46"/>
  <c r="R3" i="46" s="1"/>
  <c r="R4" i="46" l="1"/>
  <c r="E13" i="9" s="1"/>
  <c r="AB5" i="46"/>
  <c r="E9" i="9"/>
  <c r="E5" i="9" s="1"/>
  <c r="AF7" i="46"/>
  <c r="AG7" i="46" s="1"/>
  <c r="AG8" i="46"/>
  <c r="AH8" i="46" s="1"/>
  <c r="AI7" i="46" s="1"/>
  <c r="AF5" i="46"/>
  <c r="AG5" i="46" s="1"/>
  <c r="AG6" i="46"/>
  <c r="AH6" i="46" s="1"/>
  <c r="AI5" i="46" s="1"/>
  <c r="Q4" i="46"/>
  <c r="AF9" i="46"/>
  <c r="AG9" i="46" s="1"/>
  <c r="AG10" i="46"/>
  <c r="AH10" i="46" s="1"/>
  <c r="AI9" i="46" s="1"/>
  <c r="AB4" i="46"/>
  <c r="F7" i="46" a="1"/>
  <c r="F7" i="46" s="1"/>
  <c r="F4" i="46"/>
  <c r="G2" i="46"/>
  <c r="G4" i="46" s="1"/>
  <c r="O7" i="46" a="1"/>
  <c r="O7" i="46" s="1"/>
  <c r="Q7" i="46" a="1"/>
  <c r="Q7" i="46" s="1"/>
  <c r="D7" i="46" a="1"/>
  <c r="D7" i="46" s="1"/>
  <c r="E12" i="9" l="1"/>
  <c r="AJ5" i="46"/>
  <c r="AK5" i="46"/>
  <c r="AJ9" i="46"/>
  <c r="AK9" i="46"/>
  <c r="AK7" i="46"/>
  <c r="AJ7" i="46"/>
  <c r="R7" i="46" a="1"/>
  <c r="R7" i="46" s="1"/>
  <c r="U7" i="46" s="1" a="1"/>
  <c r="U7" i="46" s="1"/>
  <c r="G7" i="46" a="1"/>
  <c r="G7" i="46" s="1"/>
  <c r="J7" i="46" s="1" a="1"/>
  <c r="J7" i="46" s="1"/>
  <c r="T7" i="46" l="1" a="1"/>
  <c r="T7" i="46" s="1"/>
  <c r="S7" i="46" a="1"/>
  <c r="S7" i="46" s="1"/>
  <c r="H7" i="46" a="1"/>
  <c r="H7" i="46" s="1"/>
  <c r="I7" i="46" a="1"/>
  <c r="I7" i="4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<sst xmlns="http://schemas.openxmlformats.org/spreadsheetml/2006/main" count="228" uniqueCount="159">
  <si>
    <t>Marque</t>
  </si>
  <si>
    <t>Distributeur</t>
  </si>
  <si>
    <t>Balise</t>
  </si>
  <si>
    <t>Valeur</t>
  </si>
  <si>
    <t>Desc</t>
  </si>
  <si>
    <t>[Date]</t>
  </si>
  <si>
    <t>Entreprise</t>
  </si>
  <si>
    <t>[@SUPR@]</t>
  </si>
  <si>
    <t>Balise de suppression de la slide</t>
  </si>
  <si>
    <t>ID</t>
  </si>
  <si>
    <t>C</t>
  </si>
  <si>
    <t>Nom</t>
  </si>
  <si>
    <t>Itération</t>
  </si>
  <si>
    <t>Nombre de tests</t>
  </si>
  <si>
    <t>Résultat</t>
  </si>
  <si>
    <t xml:space="preserve">  </t>
  </si>
  <si>
    <t>[Entreprise]</t>
  </si>
  <si>
    <t>Nom de l'entreprise</t>
  </si>
  <si>
    <t>SIREN</t>
  </si>
  <si>
    <t>siren</t>
  </si>
  <si>
    <t>date_cloture_exercice</t>
  </si>
  <si>
    <t>Chiffre_d_affaires</t>
  </si>
  <si>
    <t>Marge_brute</t>
  </si>
  <si>
    <t>EBE</t>
  </si>
  <si>
    <t>EBIT</t>
  </si>
  <si>
    <t>Resultat_net</t>
  </si>
  <si>
    <t>Taux_d_endettement</t>
  </si>
  <si>
    <t>Ratio_de_liquidite</t>
  </si>
  <si>
    <t>Ratio_de_vetuste</t>
  </si>
  <si>
    <t>Autonomie_financiere</t>
  </si>
  <si>
    <t>Poids_BFR_exploitation_sur_CA</t>
  </si>
  <si>
    <t>Couverture_des_interets</t>
  </si>
  <si>
    <t>CAF_sur_CA</t>
  </si>
  <si>
    <t>Capacite_de_remboursement</t>
  </si>
  <si>
    <t>Marge_EBE</t>
  </si>
  <si>
    <t>Resultat_courant_avant_impots_sur_CA</t>
  </si>
  <si>
    <t>Poids_BFR_exploitation_sur_CA_jours</t>
  </si>
  <si>
    <t>Rotation_des_stocks_jours</t>
  </si>
  <si>
    <t>Credit_clients_Jours</t>
  </si>
  <si>
    <t>Credit_fournisseurs_Jours</t>
  </si>
  <si>
    <t>type_bilan</t>
  </si>
  <si>
    <t>confidentiality</t>
  </si>
  <si>
    <t>Public</t>
  </si>
  <si>
    <t>Date de génération</t>
  </si>
  <si>
    <t>Années</t>
  </si>
  <si>
    <t>Date</t>
  </si>
  <si>
    <t>Chiffre d'affaires</t>
  </si>
  <si>
    <t>Année prec</t>
  </si>
  <si>
    <t>Année</t>
  </si>
  <si>
    <t>Precédente valeur</t>
  </si>
  <si>
    <t>CAGR</t>
  </si>
  <si>
    <t>Text</t>
  </si>
  <si>
    <t>Positive</t>
  </si>
  <si>
    <t>Negative</t>
  </si>
  <si>
    <t>[Siren]</t>
  </si>
  <si>
    <t>Siren</t>
  </si>
  <si>
    <t>[Cagr_CA]</t>
  </si>
  <si>
    <t>[Cagr_EBE]</t>
  </si>
  <si>
    <t>[Start]</t>
  </si>
  <si>
    <t>[End]</t>
  </si>
  <si>
    <t>Première année</t>
  </si>
  <si>
    <t>Dernière année</t>
  </si>
  <si>
    <t>Taux de marge</t>
  </si>
  <si>
    <t>[EBE]</t>
  </si>
  <si>
    <t>CA</t>
  </si>
  <si>
    <t>Croissance annuelle du CA</t>
  </si>
  <si>
    <t>Croissance annuellee de l'EBE</t>
  </si>
  <si>
    <t>[RN]</t>
  </si>
  <si>
    <t>Résultat net</t>
  </si>
  <si>
    <t>Taux EBE</t>
  </si>
  <si>
    <t>Marge brute</t>
  </si>
  <si>
    <t>Blank</t>
  </si>
  <si>
    <t>Base</t>
  </si>
  <si>
    <t>Increase</t>
  </si>
  <si>
    <t>Decrease</t>
  </si>
  <si>
    <t>Marchandises et M1</t>
  </si>
  <si>
    <t>Production (salaire, ext.)</t>
  </si>
  <si>
    <t>Exceptionnel</t>
  </si>
  <si>
    <t>Fabrication d’huiles et graisses végétales et animales</t>
  </si>
  <si>
    <t>Fabrication de margarine et graisses comestibles similaires</t>
  </si>
  <si>
    <t>Fabrication d'huiles et graisses brutes</t>
  </si>
  <si>
    <t>Fabrication d'huiles et graisses raffinées</t>
  </si>
  <si>
    <t>Fabrication d'autres produits alimentaires</t>
  </si>
  <si>
    <t>Fabrication d'aliments homogénéisés et diététiques</t>
  </si>
  <si>
    <t>Fabrication d'autres produits alimentaires n.c.a.</t>
  </si>
  <si>
    <t>Fabrication de cacao, chocolat et de produits de confiserie</t>
  </si>
  <si>
    <t>Fabrication de condiments et assaisonnements</t>
  </si>
  <si>
    <t>Fabrication de plats préparés</t>
  </si>
  <si>
    <t>Fabrication de sucre</t>
  </si>
  <si>
    <t>Transformation du thé et du café</t>
  </si>
  <si>
    <t>Fabrication de boissons</t>
  </si>
  <si>
    <t>Fabrication de bière</t>
  </si>
  <si>
    <t>Fabrication de cidre et de vins de fruits</t>
  </si>
  <si>
    <t>Fabrication de malt</t>
  </si>
  <si>
    <t>Fabrication de vins effervescents</t>
  </si>
  <si>
    <t>Industrie des eaux de table</t>
  </si>
  <si>
    <t>Production de boissons alcooliques distillées</t>
  </si>
  <si>
    <t>Production de boissons rafraîchissantes</t>
  </si>
  <si>
    <t>Vinification</t>
  </si>
  <si>
    <t>Fabrication de produits de boulangerie-pâtisserie et de pâtes alimentaires</t>
  </si>
  <si>
    <t>Boulangerie et boulangerie-pâtisserie</t>
  </si>
  <si>
    <t>Cuisson de produits de boulangerie</t>
  </si>
  <si>
    <t>Fabrication de biscuits, biscottes et pâtisseries de conservation</t>
  </si>
  <si>
    <t>Fabrication de pâtes alimentaires</t>
  </si>
  <si>
    <t>Fabrication industrielle de pain et de pâtisserie fraîche</t>
  </si>
  <si>
    <t>Fabrication de produits laitiers</t>
  </si>
  <si>
    <t>Fabrication d'autres produits laitiers</t>
  </si>
  <si>
    <t>Fabrication de beurre</t>
  </si>
  <si>
    <t>Fabrication de fromage</t>
  </si>
  <si>
    <t>Fabrication de glaces et sorbets</t>
  </si>
  <si>
    <t>Fabrication de lait liquide et de produits frais</t>
  </si>
  <si>
    <t>Transformation et conservation de fruits et légumes</t>
  </si>
  <si>
    <t>Autre transformation et conservation de légumes</t>
  </si>
  <si>
    <t>Préparation de jus de fruits et légumes</t>
  </si>
  <si>
    <t>Transformation et conservation de fruits</t>
  </si>
  <si>
    <t>Transformation et conservation de pommes de terre</t>
  </si>
  <si>
    <t>Transformation et conservation de la viande et préparation de produits à base de viande</t>
  </si>
  <si>
    <t>Préparation industrielle de produits à base de viande</t>
  </si>
  <si>
    <t>Transformation et conservation de la viande de boucherie</t>
  </si>
  <si>
    <t>Transformation et conservation de la viande de volaille</t>
  </si>
  <si>
    <t>Transformation et conservation de poisson, de crustacés et de mollusques</t>
  </si>
  <si>
    <t>Travail des grains ; fabrication de produits amylacés</t>
  </si>
  <si>
    <t>Autres activités du travail des grains</t>
  </si>
  <si>
    <t>Fabrication de produits amylacés</t>
  </si>
  <si>
    <t>Meunerie</t>
  </si>
  <si>
    <t>Activité</t>
  </si>
  <si>
    <t>Activité détaillée</t>
  </si>
  <si>
    <t>[Famille]</t>
  </si>
  <si>
    <t>[Segment]</t>
  </si>
  <si>
    <t>19,46</t>
  </si>
  <si>
    <t>-0,994</t>
  </si>
  <si>
    <t>[Incohérence]</t>
  </si>
  <si>
    <t>Suppression de la slide</t>
  </si>
  <si>
    <t>Picture</t>
  </si>
  <si>
    <t>Graisses</t>
  </si>
  <si>
    <t>Cuisine</t>
  </si>
  <si>
    <t>Cacao</t>
  </si>
  <si>
    <t>Sucre</t>
  </si>
  <si>
    <t>Bière</t>
  </si>
  <si>
    <t>Boissons</t>
  </si>
  <si>
    <t>Boulangerie</t>
  </si>
  <si>
    <t>Café</t>
  </si>
  <si>
    <t>Vin</t>
  </si>
  <si>
    <t>Spiritueux</t>
  </si>
  <si>
    <t>Pates</t>
  </si>
  <si>
    <t>Dairy</t>
  </si>
  <si>
    <t>Glaces</t>
  </si>
  <si>
    <t>Fruits_legumes</t>
  </si>
  <si>
    <t>Viande</t>
  </si>
  <si>
    <t>Sea</t>
  </si>
  <si>
    <t>Grains</t>
  </si>
  <si>
    <t>[Background]</t>
  </si>
  <si>
    <t>France</t>
  </si>
  <si>
    <t>All</t>
  </si>
  <si>
    <t>[CA]</t>
  </si>
  <si>
    <t>Chiffre d'affaires dernière année</t>
  </si>
  <si>
    <t>[RN_p]</t>
  </si>
  <si>
    <t>Résultat net en %</t>
  </si>
  <si>
    <t>résultat 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</si>
</sst>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dd\ mmmm\ yyyy"/>
    <numFmt numFmtId="165" formatCode="yyyy"/>
    <numFmt numFmtId="166" formatCode="#,##0.0,,&quot;M€&quot;"/>
    <numFmt numFmtId="167" formatCode="0.0%"/>
    <numFmt numFmtId="168" formatCode="000000000"/>
    <numFmt numFmtId="169" formatCode="\+0.0%;\-0.0%"/>
    <numFmt numFmtId="170" formatCode="0000"/>
    <numFmt numFmtId="171" formatCode="yyyy\-mm\-dd;@"/>
    <numFmt numFmtId="172" formatCode="\-0%"/>
  </numFmts>
  <fonts count="8" x14ac:knownFonts="1">
    <font>
      <sz val="11"/>
      <color theme="1"/>
      <name val="Lato"/>
      <family val="2"/>
    </font>
    <font>
      <b/>
      <sz val="11"/>
      <color theme="0"/>
      <name val="Lato"/>
      <family val="2"/>
    </font>
    <font>
      <sz val="8"/>
      <name val="Lato"/>
      <family val="2"/>
    </font>
    <font>
      <b/>
      <sz val="11"/>
      <color theme="1"/>
      <name val="Lato"/>
      <family val="2"/>
    </font>
    <font>
      <sz val="11"/>
      <color theme="1" tint="9.9978637043366805E-2"/>
      <name val="Lato"/>
      <family val="2"/>
    </font>
    <font>
      <sz val="11"/>
      <color rgb="FFFF0000"/>
      <name val="Lato"/>
      <family val="2"/>
    </font>
    <font>
      <sz val="12"/>
      <color theme="1"/>
      <name val="Lato"/>
      <family val="2"/>
    </font>
    <font>
      <b/>
      <sz val="11"/>
      <color theme="4"/>
      <name val="Lato"/>
      <family val="2"/>
    </font>
  </fonts>
  <fills count="12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6D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 tint="0.89999084444715716"/>
        <bgColor indexed="64"/>
      </patternFill>
    </fill>
    <fill>
      <patternFill patternType="solid">
        <fgColor theme="1" tint="9.9978637043366805E-2"/>
        <bgColor indexed="64"/>
      </patternFill>
    </fill>
    <fill>
      <patternFill patternType="solid">
        <fgColor theme="4"/>
        <bgColor theme="4"/>
      </patternFill>
    </fill>
  </fills>
  <borders count="10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4" borderId="0" xfId="0" applyFill="1"/>
    <xf numFmtId="0" fontId="1" fillId="2" borderId="0" xfId="0" applyFont="1" applyFill="1" applyAlignment="1">
      <alignment horizontal="center"/>
    </xf>
    <xf numFmtId="9" fontId="0" fillId="0" borderId="0" xfId="0" applyNumberFormat="1"/>
    <xf numFmtId="9" fontId="0" fillId="0" borderId="0" xfId="0" applyNumberFormat="1" applyAlignment="1">
      <alignment horizontal="center"/>
    </xf>
    <xf numFmtId="0" fontId="0" fillId="0" borderId="0" xfId="0" applyAlignment="1">
      <alignment horizontal="right"/>
    </xf>
    <xf numFmtId="0" fontId="3" fillId="0" borderId="0" xfId="0" applyFont="1"/>
    <xf numFmtId="0" fontId="0" fillId="3" borderId="1" xfId="0" applyFill="1" applyBorder="1" applyAlignment="1">
      <alignment horizontal="left"/>
    </xf>
    <xf numFmtId="0" fontId="1" fillId="6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3" fontId="0" fillId="0" borderId="0" xfId="0" applyNumberFormat="1" applyAlignment="1">
      <alignment horizontal="center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1" fillId="7" borderId="0" xfId="0" applyFont="1" applyFill="1" applyAlignment="1">
      <alignment horizontal="center"/>
    </xf>
    <xf numFmtId="0" fontId="0" fillId="8" borderId="2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5" fillId="0" borderId="0" xfId="0" applyFont="1" applyAlignment="1">
      <alignment horizontal="center" vertical="center"/>
    </xf>
    <xf numFmtId="14" fontId="0" fillId="0" borderId="0" xfId="0" applyNumberFormat="1"/>
    <xf numFmtId="164" fontId="0" fillId="0" borderId="0" xfId="0" applyNumberFormat="1" applyAlignment="1">
      <alignment horizontal="center"/>
    </xf>
    <xf numFmtId="165" fontId="0" fillId="3" borderId="1" xfId="0" applyNumberFormat="1" applyFill="1" applyBorder="1" applyAlignment="1">
      <alignment horizontal="left"/>
    </xf>
    <xf numFmtId="165" fontId="0" fillId="0" borderId="0" xfId="0" applyNumberFormat="1"/>
    <xf numFmtId="166" fontId="0" fillId="0" borderId="0" xfId="0" applyNumberFormat="1"/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166" fontId="6" fillId="0" borderId="0" xfId="0" applyNumberFormat="1" applyFont="1" applyAlignment="1">
      <alignment horizontal="center"/>
    </xf>
    <xf numFmtId="168" fontId="0" fillId="0" borderId="0" xfId="0" applyNumberFormat="1" applyAlignment="1">
      <alignment horizontal="center"/>
    </xf>
    <xf numFmtId="167" fontId="0" fillId="0" borderId="0" xfId="0" applyNumberFormat="1"/>
    <xf numFmtId="169" fontId="0" fillId="0" borderId="0" xfId="0" applyNumberFormat="1" applyAlignment="1">
      <alignment horizontal="center"/>
    </xf>
    <xf numFmtId="170" fontId="0" fillId="0" borderId="0" xfId="0" applyNumberFormat="1" applyAlignment="1">
      <alignment horizontal="center"/>
    </xf>
    <xf numFmtId="167" fontId="0" fillId="8" borderId="3" xfId="0" applyNumberFormat="1" applyFill="1" applyBorder="1" applyAlignment="1">
      <alignment horizontal="center"/>
    </xf>
    <xf numFmtId="171" fontId="0" fillId="0" borderId="0" xfId="0" applyNumberFormat="1" applyAlignment="1">
      <alignment horizontal="center"/>
    </xf>
    <xf numFmtId="9" fontId="6" fillId="0" borderId="0" xfId="0" applyNumberFormat="1" applyFont="1" applyAlignment="1">
      <alignment horizontal="center"/>
    </xf>
    <xf numFmtId="172" fontId="0" fillId="0" borderId="0" xfId="0" applyNumberFormat="1"/>
    <xf numFmtId="0" fontId="7" fillId="0" borderId="0" xfId="0" applyFont="1" applyAlignment="1">
      <alignment horizontal="center"/>
    </xf>
    <xf numFmtId="3" fontId="0" fillId="0" borderId="0" xfId="0" applyNumberFormat="1"/>
    <xf numFmtId="0" fontId="1" fillId="11" borderId="7" xfId="0" applyFont="1" applyFill="1" applyBorder="1"/>
    <xf numFmtId="0" fontId="1" fillId="11" borderId="8" xfId="0" applyFont="1" applyFill="1" applyBorder="1"/>
    <xf numFmtId="0" fontId="1" fillId="10" borderId="8" xfId="0" applyFont="1" applyFill="1" applyBorder="1" applyAlignment="1">
      <alignment horizontal="center"/>
    </xf>
    <xf numFmtId="0" fontId="1" fillId="10" borderId="9" xfId="0" applyFont="1" applyFill="1" applyBorder="1" applyAlignment="1">
      <alignment horizontal="center"/>
    </xf>
    <xf numFmtId="0" fontId="0" fillId="9" borderId="7" xfId="0" applyFill="1" applyBorder="1" applyAlignment="1">
      <alignment horizontal="center"/>
    </xf>
    <xf numFmtId="0" fontId="0" fillId="9" borderId="8" xfId="0" applyFill="1" applyBorder="1"/>
    <xf numFmtId="0" fontId="0" fillId="9" borderId="9" xfId="0" applyFill="1" applyBorder="1"/>
    <xf numFmtId="0" fontId="0" fillId="9" borderId="4" xfId="0" applyFill="1" applyBorder="1" applyAlignment="1">
      <alignment horizontal="center"/>
    </xf>
    <xf numFmtId="0" fontId="0" fillId="9" borderId="5" xfId="0" applyFill="1" applyBorder="1"/>
    <xf numFmtId="0" fontId="0" fillId="9" borderId="6" xfId="0" applyFill="1" applyBorder="1"/>
  </cellXfs>
  <cellStyles count="1">
    <cellStyle name="Normal" xfId="0" builtinId="0"/>
  </cellStyles>
  <dxfs count="2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ato"/>
        <family val="2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ato"/>
        <family val="2"/>
        <scheme val="none"/>
      </font>
      <numFmt numFmtId="0" formatCode="General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ato"/>
        <family val="2"/>
        <scheme val="none"/>
      </font>
      <fill>
        <patternFill patternType="solid">
          <fgColor indexed="64"/>
          <bgColor rgb="FFFFF6D9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ato"/>
        <family val="2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border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Lato"/>
        <family val="2"/>
        <scheme val="none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numFmt numFmtId="3" formatCode="#,##0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Lato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colors>
    <mruColors>
      <color rgb="FFE2F0D9"/>
      <color rgb="FFF7D4D8"/>
      <color rgb="FF576CD4"/>
      <color rgb="FF2FB3B0"/>
      <color rgb="FFE8C912"/>
      <color rgb="FF868A96"/>
      <color rgb="FF000000"/>
      <color rgb="FFEFD431"/>
      <color rgb="FFE77E8A"/>
      <color rgb="FFD9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9335863377609111E-2"/>
          <c:y val="4.9335863377609111E-2"/>
          <c:w val="0.90132827324478182"/>
          <c:h val="0.90132827324478182"/>
        </c:manualLayout>
      </c:layout>
      <c:doughnutChart>
        <c:varyColors val="0"/>
        <c:ser>
          <c:idx val="0"/>
          <c:order val="0"/>
          <c:val>
            <c:numRef>
              <c:f>Listes!#REF!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Listes!#REF!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5A06-4C20-AA42-4A3DC5E591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7"/>
      </c:doughnutChart>
    </c:plotArea>
    <c:plotVisOnly val="0"/>
    <c:dispBlanksAs val="gap"/>
    <c:showDLblsOverMax val="1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9335863377609111E-2"/>
          <c:y val="4.9335863377609111E-2"/>
          <c:w val="0.90132827324478182"/>
          <c:h val="0.90132827324478182"/>
        </c:manualLayout>
      </c:layout>
      <c:doughnutChart>
        <c:varyColors val="0"/>
        <c:ser>
          <c:idx val="0"/>
          <c:order val="0"/>
          <c:spPr>
            <a:solidFill>
              <a:schemeClr val="bg1"/>
            </a:solidFill>
          </c:spPr>
          <c:dPt>
            <c:idx val="0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>
                <a:solidFill>
                  <a:schemeClr val="tx2">
                    <a:lumMod val="60000"/>
                    <a:lumOff val="40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4-E9A4-4A11-B536-8962B3E9D182}"/>
              </c:ext>
            </c:extLst>
          </c:dPt>
          <c:dPt>
            <c:idx val="1"/>
            <c:bubble3D val="0"/>
            <c:spPr>
              <a:solidFill>
                <a:schemeClr val="bg1"/>
              </a:solidFill>
              <a:ln w="3175" cmpd="sng" algn="ctr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E9A4-4A11-B536-8962B3E9D182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8-E9A4-4A11-B536-8962B3E9D182}"/>
              </c:ext>
            </c:extLst>
          </c:dPt>
          <c:val>
            <c:numRef>
              <c:f>Analyse!$AA$4:$AB$4</c:f>
              <c:numCache>
                <c:formatCode>0.0%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9A4-4A11-B536-8962B3E9D1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7"/>
      </c:doughnutChart>
    </c:plotArea>
    <c:plotVisOnly val="0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9335863377609111E-2"/>
          <c:y val="4.9335863377609111E-2"/>
          <c:w val="0.90132827324478182"/>
          <c:h val="0.90132827324478182"/>
        </c:manualLayout>
      </c:layout>
      <c:doughnutChart>
        <c:varyColors val="0"/>
        <c:ser>
          <c:idx val="0"/>
          <c:order val="0"/>
          <c:dPt>
            <c:idx val="0"/>
            <c:bubble3D val="0"/>
            <c:spPr>
              <a:solidFill>
                <a:schemeClr val="accent4"/>
              </a:solidFill>
              <a:ln>
                <a:solidFill>
                  <a:schemeClr val="accent4"/>
                </a:solidFill>
              </a:ln>
            </c:spPr>
            <c:extLst>
              <c:ext xmlns:c16="http://schemas.microsoft.com/office/drawing/2014/chart" uri="{C3380CC4-5D6E-409C-BE32-E72D297353CC}">
                <c16:uniqueId val="{00000004-E9A4-4A11-B536-8962B3E9D182}"/>
              </c:ext>
            </c:extLst>
          </c:dPt>
          <c:dPt>
            <c:idx val="1"/>
            <c:bubble3D val="0"/>
            <c:spPr>
              <a:solidFill>
                <a:schemeClr val="bg1"/>
              </a:solidFill>
            </c:spPr>
            <c:extLst>
              <c:ext xmlns:c16="http://schemas.microsoft.com/office/drawing/2014/chart" uri="{C3380CC4-5D6E-409C-BE32-E72D297353CC}">
                <c16:uniqueId val="{00000006-E9A4-4A11-B536-8962B3E9D182}"/>
              </c:ext>
            </c:extLst>
          </c:dPt>
          <c:dPt>
            <c:idx val="2"/>
            <c:bubble3D val="0"/>
            <c:spPr>
              <a:solidFill>
                <a:schemeClr val="bg1"/>
              </a:solidFill>
            </c:spPr>
            <c:extLst>
              <c:ext xmlns:c16="http://schemas.microsoft.com/office/drawing/2014/chart" uri="{C3380CC4-5D6E-409C-BE32-E72D297353CC}">
                <c16:uniqueId val="{00000008-E9A4-4A11-B536-8962B3E9D182}"/>
              </c:ext>
            </c:extLst>
          </c:dPt>
          <c:val>
            <c:numRef>
              <c:f>Analyse!$AA$5:$AB$5</c:f>
              <c:numCache>
                <c:formatCode>0.0%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9A4-4A11-B536-8962B3E9D1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7"/>
      </c:doughnutChart>
    </c:plotArea>
    <c:plotVisOnly val="0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4122807017543858E-2"/>
          <c:y val="0.18922467823113279"/>
          <c:w val="0.95175438596491224"/>
          <c:h val="0.6643804568866889"/>
        </c:manualLayout>
      </c:layout>
      <c:lineChart>
        <c:grouping val="standard"/>
        <c:varyColors val="0"/>
        <c:ser>
          <c:idx val="0"/>
          <c:order val="0"/>
          <c:tx>
            <c:strRef>
              <c:f>Analyse!$C$6</c:f>
              <c:strCache>
                <c:ptCount val="1"/>
                <c:pt idx="0">
                  <c:v>Chiffre d'affaires</c:v>
                </c:pt>
              </c:strCache>
            </c:strRef>
          </c:tx>
          <c:spPr>
            <a:ln w="19050" cap="rnd">
              <a:solidFill>
                <a:schemeClr val="tx1">
                  <a:lumMod val="90000"/>
                  <a:lumOff val="1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19050">
                <a:solidFill>
                  <a:schemeClr val="tx1">
                    <a:lumMod val="90000"/>
                    <a:lumOff val="10000"/>
                  </a:schemeClr>
                </a:solidFill>
              </a:ln>
              <a:effectLst/>
            </c:spPr>
          </c:marker>
          <c:dLbls>
            <c:numFmt formatCode="#\ ##0&quot;M€&quot;" sourceLinked="0"/>
            <c:spPr>
              <a:noFill/>
              <a:ln>
                <a:noFill/>
              </a:ln>
              <a:effectLst/>
            </c:spPr>
            <c:txPr>
              <a:bodyPr rot="-306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endParaRPr lang="fr-F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Analyse!$B$7:$B$150</c:f>
              <c:numCache>
                <c:formatCode>yyyy</c:formatCode>
                <c:ptCount val="144"/>
                <c:pt idx="0">
                  <c:v>0</c:v>
                </c:pt>
              </c:numCache>
            </c:numRef>
          </c:cat>
          <c:val>
            <c:numRef>
              <c:f>Analyse!$C$7:$C$150</c:f>
              <c:numCache>
                <c:formatCode>#\ ##0.0\ \ "M€"</c:formatCode>
                <c:ptCount val="144"/>
                <c:pt idx="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D25-48DE-9605-54183165DA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6856495"/>
        <c:axId val="386870415"/>
      </c:lineChart>
      <c:lineChart>
        <c:grouping val="standard"/>
        <c:varyColors val="0"/>
        <c:ser>
          <c:idx val="1"/>
          <c:order val="1"/>
          <c:tx>
            <c:strRef>
              <c:f>Analyse!$H$6</c:f>
              <c:strCache>
                <c:ptCount val="1"/>
                <c:pt idx="0">
                  <c:v>Positive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diamond"/>
            <c:size val="7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FD25-48DE-9605-54183165DA4A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FD25-48DE-9605-54183165DA4A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FD25-48DE-9605-54183165DA4A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FD25-48DE-9605-54183165DA4A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FD25-48DE-9605-54183165DA4A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FD25-48DE-9605-54183165DA4A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FD25-48DE-9605-54183165DA4A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FD25-48DE-9605-54183165DA4A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FD25-48DE-9605-54183165DA4A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FD25-48DE-9605-54183165DA4A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FD25-48DE-9605-54183165DA4A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FD25-48DE-9605-54183165DA4A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FD25-48DE-9605-54183165DA4A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FD25-48DE-9605-54183165DA4A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FD25-48DE-9605-54183165DA4A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FD25-48DE-9605-54183165DA4A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FD25-48DE-9605-54183165DA4A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FD25-48DE-9605-54183165DA4A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FD25-48DE-9605-54183165DA4A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FD25-48DE-9605-54183165DA4A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FD25-48DE-9605-54183165DA4A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FD25-48DE-9605-54183165DA4A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FD25-48DE-9605-54183165DA4A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FD25-48DE-9605-54183165DA4A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FD25-48DE-9605-54183165DA4A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FD25-48DE-9605-54183165DA4A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FD25-48DE-9605-54183165DA4A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FD25-48DE-9605-54183165DA4A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FD25-48DE-9605-54183165DA4A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FD25-48DE-9605-54183165DA4A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FD25-48DE-9605-54183165DA4A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FD25-48DE-9605-54183165DA4A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FD25-48DE-9605-54183165DA4A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FD25-48DE-9605-54183165DA4A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FD25-48DE-9605-54183165DA4A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FD25-48DE-9605-54183165DA4A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FD25-48DE-9605-54183165DA4A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FD25-48DE-9605-54183165DA4A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FD25-48DE-9605-54183165DA4A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FD25-48DE-9605-54183165DA4A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FD25-48DE-9605-54183165DA4A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FD25-48DE-9605-54183165DA4A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FD25-48DE-9605-54183165DA4A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FD25-48DE-9605-54183165DA4A}"/>
                </c:ext>
              </c:extLst>
            </c:dLbl>
            <c:dLbl>
              <c:idx val="4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FD25-48DE-9605-54183165DA4A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FD25-48DE-9605-54183165DA4A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FD25-48DE-9605-54183165DA4A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FD25-48DE-9605-54183165DA4A}"/>
                </c:ext>
              </c:extLst>
            </c:dLbl>
            <c:dLbl>
              <c:idx val="4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FD25-48DE-9605-54183165DA4A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FD25-48DE-9605-54183165DA4A}"/>
                </c:ext>
              </c:extLst>
            </c:dLbl>
            <c:dLbl>
              <c:idx val="5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FD25-48DE-9605-54183165DA4A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FD25-48DE-9605-54183165DA4A}"/>
                </c:ext>
              </c:extLst>
            </c:dLbl>
            <c:dLbl>
              <c:idx val="5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FD25-48DE-9605-54183165DA4A}"/>
                </c:ext>
              </c:extLst>
            </c:dLbl>
            <c:dLbl>
              <c:idx val="5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FD25-48DE-9605-54183165DA4A}"/>
                </c:ext>
              </c:extLst>
            </c:dLbl>
            <c:dLbl>
              <c:idx val="5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FD25-48DE-9605-54183165DA4A}"/>
                </c:ext>
              </c:extLst>
            </c:dLbl>
            <c:dLbl>
              <c:idx val="5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FD25-48DE-9605-54183165DA4A}"/>
                </c:ext>
              </c:extLst>
            </c:dLbl>
            <c:dLbl>
              <c:idx val="5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FD25-48DE-9605-54183165DA4A}"/>
                </c:ext>
              </c:extLst>
            </c:dLbl>
            <c:dLbl>
              <c:idx val="5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FD25-48DE-9605-54183165DA4A}"/>
                </c:ext>
              </c:extLst>
            </c:dLbl>
            <c:dLbl>
              <c:idx val="5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FD25-48DE-9605-54183165DA4A}"/>
                </c:ext>
              </c:extLst>
            </c:dLbl>
            <c:dLbl>
              <c:idx val="5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FD25-48DE-9605-54183165DA4A}"/>
                </c:ext>
              </c:extLst>
            </c:dLbl>
            <c:dLbl>
              <c:idx val="6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D-FD25-48DE-9605-54183165DA4A}"/>
                </c:ext>
              </c:extLst>
            </c:dLbl>
            <c:dLbl>
              <c:idx val="6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E-FD25-48DE-9605-54183165DA4A}"/>
                </c:ext>
              </c:extLst>
            </c:dLbl>
            <c:dLbl>
              <c:idx val="6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F-FD25-48DE-9605-54183165DA4A}"/>
                </c:ext>
              </c:extLst>
            </c:dLbl>
            <c:dLbl>
              <c:idx val="6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0-FD25-48DE-9605-54183165DA4A}"/>
                </c:ext>
              </c:extLst>
            </c:dLbl>
            <c:dLbl>
              <c:idx val="6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1-FD25-48DE-9605-54183165DA4A}"/>
                </c:ext>
              </c:extLst>
            </c:dLbl>
            <c:dLbl>
              <c:idx val="6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2-FD25-48DE-9605-54183165DA4A}"/>
                </c:ext>
              </c:extLst>
            </c:dLbl>
            <c:dLbl>
              <c:idx val="6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3-FD25-48DE-9605-54183165DA4A}"/>
                </c:ext>
              </c:extLst>
            </c:dLbl>
            <c:dLbl>
              <c:idx val="6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FD25-48DE-9605-54183165DA4A}"/>
                </c:ext>
              </c:extLst>
            </c:dLbl>
            <c:dLbl>
              <c:idx val="6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5-FD25-48DE-9605-54183165DA4A}"/>
                </c:ext>
              </c:extLst>
            </c:dLbl>
            <c:dLbl>
              <c:idx val="6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FD25-48DE-9605-54183165DA4A}"/>
                </c:ext>
              </c:extLst>
            </c:dLbl>
            <c:dLbl>
              <c:idx val="7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7-FD25-48DE-9605-54183165DA4A}"/>
                </c:ext>
              </c:extLst>
            </c:dLbl>
            <c:dLbl>
              <c:idx val="7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FD25-48DE-9605-54183165DA4A}"/>
                </c:ext>
              </c:extLst>
            </c:dLbl>
            <c:dLbl>
              <c:idx val="7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9-FD25-48DE-9605-54183165DA4A}"/>
                </c:ext>
              </c:extLst>
            </c:dLbl>
            <c:dLbl>
              <c:idx val="7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FD25-48DE-9605-54183165DA4A}"/>
                </c:ext>
              </c:extLst>
            </c:dLbl>
            <c:dLbl>
              <c:idx val="7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B-FD25-48DE-9605-54183165DA4A}"/>
                </c:ext>
              </c:extLst>
            </c:dLbl>
            <c:dLbl>
              <c:idx val="7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C-FD25-48DE-9605-54183165DA4A}"/>
                </c:ext>
              </c:extLst>
            </c:dLbl>
            <c:dLbl>
              <c:idx val="7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D-FD25-48DE-9605-54183165DA4A}"/>
                </c:ext>
              </c:extLst>
            </c:dLbl>
            <c:dLbl>
              <c:idx val="7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E-FD25-48DE-9605-54183165DA4A}"/>
                </c:ext>
              </c:extLst>
            </c:dLbl>
            <c:dLbl>
              <c:idx val="7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F-FD25-48DE-9605-54183165DA4A}"/>
                </c:ext>
              </c:extLst>
            </c:dLbl>
            <c:dLbl>
              <c:idx val="7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0-FD25-48DE-9605-54183165DA4A}"/>
                </c:ext>
              </c:extLst>
            </c:dLbl>
            <c:dLbl>
              <c:idx val="8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1-FD25-48DE-9605-54183165DA4A}"/>
                </c:ext>
              </c:extLst>
            </c:dLbl>
            <c:dLbl>
              <c:idx val="8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2-FD25-48DE-9605-54183165DA4A}"/>
                </c:ext>
              </c:extLst>
            </c:dLbl>
            <c:dLbl>
              <c:idx val="8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3-FD25-48DE-9605-54183165DA4A}"/>
                </c:ext>
              </c:extLst>
            </c:dLbl>
            <c:dLbl>
              <c:idx val="8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4-FD25-48DE-9605-54183165DA4A}"/>
                </c:ext>
              </c:extLst>
            </c:dLbl>
            <c:dLbl>
              <c:idx val="8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5-FD25-48DE-9605-54183165DA4A}"/>
                </c:ext>
              </c:extLst>
            </c:dLbl>
            <c:dLbl>
              <c:idx val="8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6-FD25-48DE-9605-54183165DA4A}"/>
                </c:ext>
              </c:extLst>
            </c:dLbl>
            <c:dLbl>
              <c:idx val="8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7-FD25-48DE-9605-54183165DA4A}"/>
                </c:ext>
              </c:extLst>
            </c:dLbl>
            <c:dLbl>
              <c:idx val="8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8-FD25-48DE-9605-54183165DA4A}"/>
                </c:ext>
              </c:extLst>
            </c:dLbl>
            <c:dLbl>
              <c:idx val="8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9-FD25-48DE-9605-54183165DA4A}"/>
                </c:ext>
              </c:extLst>
            </c:dLbl>
            <c:dLbl>
              <c:idx val="8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A-FD25-48DE-9605-54183165DA4A}"/>
                </c:ext>
              </c:extLst>
            </c:dLbl>
            <c:dLbl>
              <c:idx val="9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B-FD25-48DE-9605-54183165DA4A}"/>
                </c:ext>
              </c:extLst>
            </c:dLbl>
            <c:dLbl>
              <c:idx val="9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C-FD25-48DE-9605-54183165DA4A}"/>
                </c:ext>
              </c:extLst>
            </c:dLbl>
            <c:dLbl>
              <c:idx val="9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D-FD25-48DE-9605-54183165DA4A}"/>
                </c:ext>
              </c:extLst>
            </c:dLbl>
            <c:dLbl>
              <c:idx val="9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E-FD25-48DE-9605-54183165DA4A}"/>
                </c:ext>
              </c:extLst>
            </c:dLbl>
            <c:dLbl>
              <c:idx val="9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F-FD25-48DE-9605-54183165DA4A}"/>
                </c:ext>
              </c:extLst>
            </c:dLbl>
            <c:dLbl>
              <c:idx val="9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0-FD25-48DE-9605-54183165DA4A}"/>
                </c:ext>
              </c:extLst>
            </c:dLbl>
            <c:dLbl>
              <c:idx val="9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1-FD25-48DE-9605-54183165DA4A}"/>
                </c:ext>
              </c:extLst>
            </c:dLbl>
            <c:dLbl>
              <c:idx val="9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2-FD25-48DE-9605-54183165DA4A}"/>
                </c:ext>
              </c:extLst>
            </c:dLbl>
            <c:dLbl>
              <c:idx val="9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3-FD25-48DE-9605-54183165DA4A}"/>
                </c:ext>
              </c:extLst>
            </c:dLbl>
            <c:dLbl>
              <c:idx val="9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4-FD25-48DE-9605-54183165DA4A}"/>
                </c:ext>
              </c:extLst>
            </c:dLbl>
            <c:dLbl>
              <c:idx val="10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5-FD25-48DE-9605-54183165DA4A}"/>
                </c:ext>
              </c:extLst>
            </c:dLbl>
            <c:dLbl>
              <c:idx val="10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6-FD25-48DE-9605-54183165DA4A}"/>
                </c:ext>
              </c:extLst>
            </c:dLbl>
            <c:dLbl>
              <c:idx val="10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7-FD25-48DE-9605-54183165DA4A}"/>
                </c:ext>
              </c:extLst>
            </c:dLbl>
            <c:dLbl>
              <c:idx val="10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8-FD25-48DE-9605-54183165DA4A}"/>
                </c:ext>
              </c:extLst>
            </c:dLbl>
            <c:dLbl>
              <c:idx val="10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9-FD25-48DE-9605-54183165DA4A}"/>
                </c:ext>
              </c:extLst>
            </c:dLbl>
            <c:dLbl>
              <c:idx val="10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A-FD25-48DE-9605-54183165DA4A}"/>
                </c:ext>
              </c:extLst>
            </c:dLbl>
            <c:dLbl>
              <c:idx val="10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B-FD25-48DE-9605-54183165DA4A}"/>
                </c:ext>
              </c:extLst>
            </c:dLbl>
            <c:dLbl>
              <c:idx val="10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C-FD25-48DE-9605-54183165DA4A}"/>
                </c:ext>
              </c:extLst>
            </c:dLbl>
            <c:dLbl>
              <c:idx val="10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D-FD25-48DE-9605-54183165DA4A}"/>
                </c:ext>
              </c:extLst>
            </c:dLbl>
            <c:dLbl>
              <c:idx val="10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E-FD25-48DE-9605-54183165DA4A}"/>
                </c:ext>
              </c:extLst>
            </c:dLbl>
            <c:dLbl>
              <c:idx val="11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F-FD25-48DE-9605-54183165DA4A}"/>
                </c:ext>
              </c:extLst>
            </c:dLbl>
            <c:dLbl>
              <c:idx val="11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0-FD25-48DE-9605-54183165DA4A}"/>
                </c:ext>
              </c:extLst>
            </c:dLbl>
            <c:dLbl>
              <c:idx val="11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1-FD25-48DE-9605-54183165DA4A}"/>
                </c:ext>
              </c:extLst>
            </c:dLbl>
            <c:dLbl>
              <c:idx val="11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2-FD25-48DE-9605-54183165DA4A}"/>
                </c:ext>
              </c:extLst>
            </c:dLbl>
            <c:dLbl>
              <c:idx val="11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3-FD25-48DE-9605-54183165DA4A}"/>
                </c:ext>
              </c:extLst>
            </c:dLbl>
            <c:dLbl>
              <c:idx val="11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4-FD25-48DE-9605-54183165DA4A}"/>
                </c:ext>
              </c:extLst>
            </c:dLbl>
            <c:dLbl>
              <c:idx val="11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5-FD25-48DE-9605-54183165DA4A}"/>
                </c:ext>
              </c:extLst>
            </c:dLbl>
            <c:dLbl>
              <c:idx val="11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6-FD25-48DE-9605-54183165DA4A}"/>
                </c:ext>
              </c:extLst>
            </c:dLbl>
            <c:dLbl>
              <c:idx val="11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7-FD25-48DE-9605-54183165DA4A}"/>
                </c:ext>
              </c:extLst>
            </c:dLbl>
            <c:dLbl>
              <c:idx val="11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8-FD25-48DE-9605-54183165DA4A}"/>
                </c:ext>
              </c:extLst>
            </c:dLbl>
            <c:dLbl>
              <c:idx val="12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9-FD25-48DE-9605-54183165DA4A}"/>
                </c:ext>
              </c:extLst>
            </c:dLbl>
            <c:dLbl>
              <c:idx val="12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A-FD25-48DE-9605-54183165DA4A}"/>
                </c:ext>
              </c:extLst>
            </c:dLbl>
            <c:dLbl>
              <c:idx val="12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B-FD25-48DE-9605-54183165DA4A}"/>
                </c:ext>
              </c:extLst>
            </c:dLbl>
            <c:dLbl>
              <c:idx val="12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C-FD25-48DE-9605-54183165DA4A}"/>
                </c:ext>
              </c:extLst>
            </c:dLbl>
            <c:dLbl>
              <c:idx val="12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D-FD25-48DE-9605-54183165DA4A}"/>
                </c:ext>
              </c:extLst>
            </c:dLbl>
            <c:dLbl>
              <c:idx val="12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E-FD25-48DE-9605-54183165DA4A}"/>
                </c:ext>
              </c:extLst>
            </c:dLbl>
            <c:dLbl>
              <c:idx val="12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F-FD25-48DE-9605-54183165DA4A}"/>
                </c:ext>
              </c:extLst>
            </c:dLbl>
            <c:dLbl>
              <c:idx val="12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0-FD25-48DE-9605-54183165DA4A}"/>
                </c:ext>
              </c:extLst>
            </c:dLbl>
            <c:dLbl>
              <c:idx val="12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1-FD25-48DE-9605-54183165DA4A}"/>
                </c:ext>
              </c:extLst>
            </c:dLbl>
            <c:dLbl>
              <c:idx val="12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2-FD25-48DE-9605-54183165DA4A}"/>
                </c:ext>
              </c:extLst>
            </c:dLbl>
            <c:dLbl>
              <c:idx val="13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3-FD25-48DE-9605-54183165DA4A}"/>
                </c:ext>
              </c:extLst>
            </c:dLbl>
            <c:dLbl>
              <c:idx val="13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4-FD25-48DE-9605-54183165DA4A}"/>
                </c:ext>
              </c:extLst>
            </c:dLbl>
            <c:dLbl>
              <c:idx val="13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5-FD25-48DE-9605-54183165DA4A}"/>
                </c:ext>
              </c:extLst>
            </c:dLbl>
            <c:dLbl>
              <c:idx val="13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6-FD25-48DE-9605-54183165DA4A}"/>
                </c:ext>
              </c:extLst>
            </c:dLbl>
            <c:dLbl>
              <c:idx val="13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7-FD25-48DE-9605-54183165DA4A}"/>
                </c:ext>
              </c:extLst>
            </c:dLbl>
            <c:dLbl>
              <c:idx val="13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8-FD25-48DE-9605-54183165DA4A}"/>
                </c:ext>
              </c:extLst>
            </c:dLbl>
            <c:dLbl>
              <c:idx val="13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9-FD25-48DE-9605-54183165DA4A}"/>
                </c:ext>
              </c:extLst>
            </c:dLbl>
            <c:dLbl>
              <c:idx val="13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A-FD25-48DE-9605-54183165DA4A}"/>
                </c:ext>
              </c:extLst>
            </c:dLbl>
            <c:dLbl>
              <c:idx val="13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B-FD25-48DE-9605-54183165DA4A}"/>
                </c:ext>
              </c:extLst>
            </c:dLbl>
            <c:dLbl>
              <c:idx val="13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C-FD25-48DE-9605-54183165DA4A}"/>
                </c:ext>
              </c:extLst>
            </c:dLbl>
            <c:dLbl>
              <c:idx val="14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D-FD25-48DE-9605-54183165DA4A}"/>
                </c:ext>
              </c:extLst>
            </c:dLbl>
            <c:dLbl>
              <c:idx val="14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E-FD25-48DE-9605-54183165DA4A}"/>
                </c:ext>
              </c:extLst>
            </c:dLbl>
            <c:dLbl>
              <c:idx val="14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F-FD25-48DE-9605-54183165DA4A}"/>
                </c:ext>
              </c:extLst>
            </c:dLbl>
            <c:dLbl>
              <c:idx val="14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0-FD25-48DE-9605-54183165DA4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1" u="none" strike="noStrike" kern="1200" baseline="0">
                    <a:solidFill>
                      <a:schemeClr val="accent6"/>
                    </a:solidFill>
                    <a:latin typeface="+mj-lt"/>
                    <a:ea typeface="+mn-ea"/>
                    <a:cs typeface="+mn-cs"/>
                  </a:defRPr>
                </a:pPr>
                <a:endParaRPr lang="fr-F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Analyse!$B$7:$B$150</c:f>
              <c:numCache>
                <c:formatCode>yyyy</c:formatCode>
                <c:ptCount val="144"/>
                <c:pt idx="0">
                  <c:v>0</c:v>
                </c:pt>
              </c:numCache>
            </c:numRef>
          </c:cat>
          <c:val>
            <c:numRef>
              <c:f>Analyse!$H$7:$H$150</c:f>
              <c:numCache>
                <c:formatCode>General</c:formatCode>
                <c:ptCount val="144"/>
                <c:pt idx="0">
                  <c:v>#N/A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Analyse!$J$7:$J$150</c15:f>
                <c15:dlblRangeCache>
                  <c:ptCount val="144"/>
                  <c:pt idx="0">
                    <c:v>#REF!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91-FD25-48DE-9605-54183165DA4A}"/>
            </c:ext>
          </c:extLst>
        </c:ser>
        <c:ser>
          <c:idx val="2"/>
          <c:order val="2"/>
          <c:tx>
            <c:strRef>
              <c:f>Analyse!$I$6</c:f>
              <c:strCache>
                <c:ptCount val="1"/>
                <c:pt idx="0">
                  <c:v>Negative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2-FD25-48DE-9605-54183165DA4A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3-FD25-48DE-9605-54183165DA4A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4-FD25-48DE-9605-54183165DA4A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5-FD25-48DE-9605-54183165DA4A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6-FD25-48DE-9605-54183165DA4A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7-FD25-48DE-9605-54183165DA4A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8-FD25-48DE-9605-54183165DA4A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9-FD25-48DE-9605-54183165DA4A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A-FD25-48DE-9605-54183165DA4A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B-FD25-48DE-9605-54183165DA4A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C-FD25-48DE-9605-54183165DA4A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D-FD25-48DE-9605-54183165DA4A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E-FD25-48DE-9605-54183165DA4A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F-FD25-48DE-9605-54183165DA4A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0-FD25-48DE-9605-54183165DA4A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1-FD25-48DE-9605-54183165DA4A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2-FD25-48DE-9605-54183165DA4A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3-FD25-48DE-9605-54183165DA4A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4-FD25-48DE-9605-54183165DA4A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5-FD25-48DE-9605-54183165DA4A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6-FD25-48DE-9605-54183165DA4A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7-FD25-48DE-9605-54183165DA4A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8-FD25-48DE-9605-54183165DA4A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9-FD25-48DE-9605-54183165DA4A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A-FD25-48DE-9605-54183165DA4A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B-FD25-48DE-9605-54183165DA4A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C-FD25-48DE-9605-54183165DA4A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D-FD25-48DE-9605-54183165DA4A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E-FD25-48DE-9605-54183165DA4A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F-FD25-48DE-9605-54183165DA4A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0-FD25-48DE-9605-54183165DA4A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1-FD25-48DE-9605-54183165DA4A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2-FD25-48DE-9605-54183165DA4A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3-FD25-48DE-9605-54183165DA4A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4-FD25-48DE-9605-54183165DA4A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5-FD25-48DE-9605-54183165DA4A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6-FD25-48DE-9605-54183165DA4A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7-FD25-48DE-9605-54183165DA4A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8-FD25-48DE-9605-54183165DA4A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9-FD25-48DE-9605-54183165DA4A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A-FD25-48DE-9605-54183165DA4A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B-FD25-48DE-9605-54183165DA4A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C-FD25-48DE-9605-54183165DA4A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D-FD25-48DE-9605-54183165DA4A}"/>
                </c:ext>
              </c:extLst>
            </c:dLbl>
            <c:dLbl>
              <c:idx val="4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E-FD25-48DE-9605-54183165DA4A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F-FD25-48DE-9605-54183165DA4A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0-FD25-48DE-9605-54183165DA4A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1-FD25-48DE-9605-54183165DA4A}"/>
                </c:ext>
              </c:extLst>
            </c:dLbl>
            <c:dLbl>
              <c:idx val="4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2-FD25-48DE-9605-54183165DA4A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3-FD25-48DE-9605-54183165DA4A}"/>
                </c:ext>
              </c:extLst>
            </c:dLbl>
            <c:dLbl>
              <c:idx val="5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4-FD25-48DE-9605-54183165DA4A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5-FD25-48DE-9605-54183165DA4A}"/>
                </c:ext>
              </c:extLst>
            </c:dLbl>
            <c:dLbl>
              <c:idx val="5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6-FD25-48DE-9605-54183165DA4A}"/>
                </c:ext>
              </c:extLst>
            </c:dLbl>
            <c:dLbl>
              <c:idx val="5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7-FD25-48DE-9605-54183165DA4A}"/>
                </c:ext>
              </c:extLst>
            </c:dLbl>
            <c:dLbl>
              <c:idx val="5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8-FD25-48DE-9605-54183165DA4A}"/>
                </c:ext>
              </c:extLst>
            </c:dLbl>
            <c:dLbl>
              <c:idx val="5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9-FD25-48DE-9605-54183165DA4A}"/>
                </c:ext>
              </c:extLst>
            </c:dLbl>
            <c:dLbl>
              <c:idx val="5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A-FD25-48DE-9605-54183165DA4A}"/>
                </c:ext>
              </c:extLst>
            </c:dLbl>
            <c:dLbl>
              <c:idx val="5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B-FD25-48DE-9605-54183165DA4A}"/>
                </c:ext>
              </c:extLst>
            </c:dLbl>
            <c:dLbl>
              <c:idx val="5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C-FD25-48DE-9605-54183165DA4A}"/>
                </c:ext>
              </c:extLst>
            </c:dLbl>
            <c:dLbl>
              <c:idx val="5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D-FD25-48DE-9605-54183165DA4A}"/>
                </c:ext>
              </c:extLst>
            </c:dLbl>
            <c:dLbl>
              <c:idx val="6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E-FD25-48DE-9605-54183165DA4A}"/>
                </c:ext>
              </c:extLst>
            </c:dLbl>
            <c:dLbl>
              <c:idx val="6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F-FD25-48DE-9605-54183165DA4A}"/>
                </c:ext>
              </c:extLst>
            </c:dLbl>
            <c:dLbl>
              <c:idx val="6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0-FD25-48DE-9605-54183165DA4A}"/>
                </c:ext>
              </c:extLst>
            </c:dLbl>
            <c:dLbl>
              <c:idx val="6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1-FD25-48DE-9605-54183165DA4A}"/>
                </c:ext>
              </c:extLst>
            </c:dLbl>
            <c:dLbl>
              <c:idx val="6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2-FD25-48DE-9605-54183165DA4A}"/>
                </c:ext>
              </c:extLst>
            </c:dLbl>
            <c:dLbl>
              <c:idx val="6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3-FD25-48DE-9605-54183165DA4A}"/>
                </c:ext>
              </c:extLst>
            </c:dLbl>
            <c:dLbl>
              <c:idx val="6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4-FD25-48DE-9605-54183165DA4A}"/>
                </c:ext>
              </c:extLst>
            </c:dLbl>
            <c:dLbl>
              <c:idx val="6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5-FD25-48DE-9605-54183165DA4A}"/>
                </c:ext>
              </c:extLst>
            </c:dLbl>
            <c:dLbl>
              <c:idx val="6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6-FD25-48DE-9605-54183165DA4A}"/>
                </c:ext>
              </c:extLst>
            </c:dLbl>
            <c:dLbl>
              <c:idx val="6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7-FD25-48DE-9605-54183165DA4A}"/>
                </c:ext>
              </c:extLst>
            </c:dLbl>
            <c:dLbl>
              <c:idx val="7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8-FD25-48DE-9605-54183165DA4A}"/>
                </c:ext>
              </c:extLst>
            </c:dLbl>
            <c:dLbl>
              <c:idx val="7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9-FD25-48DE-9605-54183165DA4A}"/>
                </c:ext>
              </c:extLst>
            </c:dLbl>
            <c:dLbl>
              <c:idx val="7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A-FD25-48DE-9605-54183165DA4A}"/>
                </c:ext>
              </c:extLst>
            </c:dLbl>
            <c:dLbl>
              <c:idx val="7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B-FD25-48DE-9605-54183165DA4A}"/>
                </c:ext>
              </c:extLst>
            </c:dLbl>
            <c:dLbl>
              <c:idx val="7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C-FD25-48DE-9605-54183165DA4A}"/>
                </c:ext>
              </c:extLst>
            </c:dLbl>
            <c:dLbl>
              <c:idx val="7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D-FD25-48DE-9605-54183165DA4A}"/>
                </c:ext>
              </c:extLst>
            </c:dLbl>
            <c:dLbl>
              <c:idx val="7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E-FD25-48DE-9605-54183165DA4A}"/>
                </c:ext>
              </c:extLst>
            </c:dLbl>
            <c:dLbl>
              <c:idx val="7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F-FD25-48DE-9605-54183165DA4A}"/>
                </c:ext>
              </c:extLst>
            </c:dLbl>
            <c:dLbl>
              <c:idx val="7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0-FD25-48DE-9605-54183165DA4A}"/>
                </c:ext>
              </c:extLst>
            </c:dLbl>
            <c:dLbl>
              <c:idx val="7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1-FD25-48DE-9605-54183165DA4A}"/>
                </c:ext>
              </c:extLst>
            </c:dLbl>
            <c:dLbl>
              <c:idx val="8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2-FD25-48DE-9605-54183165DA4A}"/>
                </c:ext>
              </c:extLst>
            </c:dLbl>
            <c:dLbl>
              <c:idx val="8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3-FD25-48DE-9605-54183165DA4A}"/>
                </c:ext>
              </c:extLst>
            </c:dLbl>
            <c:dLbl>
              <c:idx val="8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4-FD25-48DE-9605-54183165DA4A}"/>
                </c:ext>
              </c:extLst>
            </c:dLbl>
            <c:dLbl>
              <c:idx val="8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5-FD25-48DE-9605-54183165DA4A}"/>
                </c:ext>
              </c:extLst>
            </c:dLbl>
            <c:dLbl>
              <c:idx val="8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6-FD25-48DE-9605-54183165DA4A}"/>
                </c:ext>
              </c:extLst>
            </c:dLbl>
            <c:dLbl>
              <c:idx val="8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7-FD25-48DE-9605-54183165DA4A}"/>
                </c:ext>
              </c:extLst>
            </c:dLbl>
            <c:dLbl>
              <c:idx val="8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8-FD25-48DE-9605-54183165DA4A}"/>
                </c:ext>
              </c:extLst>
            </c:dLbl>
            <c:dLbl>
              <c:idx val="8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9-FD25-48DE-9605-54183165DA4A}"/>
                </c:ext>
              </c:extLst>
            </c:dLbl>
            <c:dLbl>
              <c:idx val="8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A-FD25-48DE-9605-54183165DA4A}"/>
                </c:ext>
              </c:extLst>
            </c:dLbl>
            <c:dLbl>
              <c:idx val="8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B-FD25-48DE-9605-54183165DA4A}"/>
                </c:ext>
              </c:extLst>
            </c:dLbl>
            <c:dLbl>
              <c:idx val="9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C-FD25-48DE-9605-54183165DA4A}"/>
                </c:ext>
              </c:extLst>
            </c:dLbl>
            <c:dLbl>
              <c:idx val="9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D-FD25-48DE-9605-54183165DA4A}"/>
                </c:ext>
              </c:extLst>
            </c:dLbl>
            <c:dLbl>
              <c:idx val="9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E-FD25-48DE-9605-54183165DA4A}"/>
                </c:ext>
              </c:extLst>
            </c:dLbl>
            <c:dLbl>
              <c:idx val="9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F-FD25-48DE-9605-54183165DA4A}"/>
                </c:ext>
              </c:extLst>
            </c:dLbl>
            <c:dLbl>
              <c:idx val="9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0-FD25-48DE-9605-54183165DA4A}"/>
                </c:ext>
              </c:extLst>
            </c:dLbl>
            <c:dLbl>
              <c:idx val="9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1-FD25-48DE-9605-54183165DA4A}"/>
                </c:ext>
              </c:extLst>
            </c:dLbl>
            <c:dLbl>
              <c:idx val="9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2-FD25-48DE-9605-54183165DA4A}"/>
                </c:ext>
              </c:extLst>
            </c:dLbl>
            <c:dLbl>
              <c:idx val="9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3-FD25-48DE-9605-54183165DA4A}"/>
                </c:ext>
              </c:extLst>
            </c:dLbl>
            <c:dLbl>
              <c:idx val="9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4-FD25-48DE-9605-54183165DA4A}"/>
                </c:ext>
              </c:extLst>
            </c:dLbl>
            <c:dLbl>
              <c:idx val="9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5-FD25-48DE-9605-54183165DA4A}"/>
                </c:ext>
              </c:extLst>
            </c:dLbl>
            <c:dLbl>
              <c:idx val="10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6-FD25-48DE-9605-54183165DA4A}"/>
                </c:ext>
              </c:extLst>
            </c:dLbl>
            <c:dLbl>
              <c:idx val="10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7-FD25-48DE-9605-54183165DA4A}"/>
                </c:ext>
              </c:extLst>
            </c:dLbl>
            <c:dLbl>
              <c:idx val="10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8-FD25-48DE-9605-54183165DA4A}"/>
                </c:ext>
              </c:extLst>
            </c:dLbl>
            <c:dLbl>
              <c:idx val="10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9-FD25-48DE-9605-54183165DA4A}"/>
                </c:ext>
              </c:extLst>
            </c:dLbl>
            <c:dLbl>
              <c:idx val="10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A-FD25-48DE-9605-54183165DA4A}"/>
                </c:ext>
              </c:extLst>
            </c:dLbl>
            <c:dLbl>
              <c:idx val="10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B-FD25-48DE-9605-54183165DA4A}"/>
                </c:ext>
              </c:extLst>
            </c:dLbl>
            <c:dLbl>
              <c:idx val="10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C-FD25-48DE-9605-54183165DA4A}"/>
                </c:ext>
              </c:extLst>
            </c:dLbl>
            <c:dLbl>
              <c:idx val="10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D-FD25-48DE-9605-54183165DA4A}"/>
                </c:ext>
              </c:extLst>
            </c:dLbl>
            <c:dLbl>
              <c:idx val="10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E-FD25-48DE-9605-54183165DA4A}"/>
                </c:ext>
              </c:extLst>
            </c:dLbl>
            <c:dLbl>
              <c:idx val="10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F-FD25-48DE-9605-54183165DA4A}"/>
                </c:ext>
              </c:extLst>
            </c:dLbl>
            <c:dLbl>
              <c:idx val="11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0-FD25-48DE-9605-54183165DA4A}"/>
                </c:ext>
              </c:extLst>
            </c:dLbl>
            <c:dLbl>
              <c:idx val="11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1-FD25-48DE-9605-54183165DA4A}"/>
                </c:ext>
              </c:extLst>
            </c:dLbl>
            <c:dLbl>
              <c:idx val="11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2-FD25-48DE-9605-54183165DA4A}"/>
                </c:ext>
              </c:extLst>
            </c:dLbl>
            <c:dLbl>
              <c:idx val="11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3-FD25-48DE-9605-54183165DA4A}"/>
                </c:ext>
              </c:extLst>
            </c:dLbl>
            <c:dLbl>
              <c:idx val="11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4-FD25-48DE-9605-54183165DA4A}"/>
                </c:ext>
              </c:extLst>
            </c:dLbl>
            <c:dLbl>
              <c:idx val="11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5-FD25-48DE-9605-54183165DA4A}"/>
                </c:ext>
              </c:extLst>
            </c:dLbl>
            <c:dLbl>
              <c:idx val="11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6-FD25-48DE-9605-54183165DA4A}"/>
                </c:ext>
              </c:extLst>
            </c:dLbl>
            <c:dLbl>
              <c:idx val="11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7-FD25-48DE-9605-54183165DA4A}"/>
                </c:ext>
              </c:extLst>
            </c:dLbl>
            <c:dLbl>
              <c:idx val="11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8-FD25-48DE-9605-54183165DA4A}"/>
                </c:ext>
              </c:extLst>
            </c:dLbl>
            <c:dLbl>
              <c:idx val="11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9-FD25-48DE-9605-54183165DA4A}"/>
                </c:ext>
              </c:extLst>
            </c:dLbl>
            <c:dLbl>
              <c:idx val="12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A-FD25-48DE-9605-54183165DA4A}"/>
                </c:ext>
              </c:extLst>
            </c:dLbl>
            <c:dLbl>
              <c:idx val="12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B-FD25-48DE-9605-54183165DA4A}"/>
                </c:ext>
              </c:extLst>
            </c:dLbl>
            <c:dLbl>
              <c:idx val="12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C-FD25-48DE-9605-54183165DA4A}"/>
                </c:ext>
              </c:extLst>
            </c:dLbl>
            <c:dLbl>
              <c:idx val="12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D-FD25-48DE-9605-54183165DA4A}"/>
                </c:ext>
              </c:extLst>
            </c:dLbl>
            <c:dLbl>
              <c:idx val="12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E-FD25-48DE-9605-54183165DA4A}"/>
                </c:ext>
              </c:extLst>
            </c:dLbl>
            <c:dLbl>
              <c:idx val="12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F-FD25-48DE-9605-54183165DA4A}"/>
                </c:ext>
              </c:extLst>
            </c:dLbl>
            <c:dLbl>
              <c:idx val="12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0-FD25-48DE-9605-54183165DA4A}"/>
                </c:ext>
              </c:extLst>
            </c:dLbl>
            <c:dLbl>
              <c:idx val="12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1-FD25-48DE-9605-54183165DA4A}"/>
                </c:ext>
              </c:extLst>
            </c:dLbl>
            <c:dLbl>
              <c:idx val="12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2-FD25-48DE-9605-54183165DA4A}"/>
                </c:ext>
              </c:extLst>
            </c:dLbl>
            <c:dLbl>
              <c:idx val="12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3-FD25-48DE-9605-54183165DA4A}"/>
                </c:ext>
              </c:extLst>
            </c:dLbl>
            <c:dLbl>
              <c:idx val="13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4-FD25-48DE-9605-54183165DA4A}"/>
                </c:ext>
              </c:extLst>
            </c:dLbl>
            <c:dLbl>
              <c:idx val="13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5-FD25-48DE-9605-54183165DA4A}"/>
                </c:ext>
              </c:extLst>
            </c:dLbl>
            <c:dLbl>
              <c:idx val="13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6-FD25-48DE-9605-54183165DA4A}"/>
                </c:ext>
              </c:extLst>
            </c:dLbl>
            <c:dLbl>
              <c:idx val="13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7-FD25-48DE-9605-54183165DA4A}"/>
                </c:ext>
              </c:extLst>
            </c:dLbl>
            <c:dLbl>
              <c:idx val="13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8-FD25-48DE-9605-54183165DA4A}"/>
                </c:ext>
              </c:extLst>
            </c:dLbl>
            <c:dLbl>
              <c:idx val="13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9-FD25-48DE-9605-54183165DA4A}"/>
                </c:ext>
              </c:extLst>
            </c:dLbl>
            <c:dLbl>
              <c:idx val="13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A-FD25-48DE-9605-54183165DA4A}"/>
                </c:ext>
              </c:extLst>
            </c:dLbl>
            <c:dLbl>
              <c:idx val="13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B-FD25-48DE-9605-54183165DA4A}"/>
                </c:ext>
              </c:extLst>
            </c:dLbl>
            <c:dLbl>
              <c:idx val="13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C-FD25-48DE-9605-54183165DA4A}"/>
                </c:ext>
              </c:extLst>
            </c:dLbl>
            <c:dLbl>
              <c:idx val="13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D-FD25-48DE-9605-54183165DA4A}"/>
                </c:ext>
              </c:extLst>
            </c:dLbl>
            <c:dLbl>
              <c:idx val="14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E-FD25-48DE-9605-54183165DA4A}"/>
                </c:ext>
              </c:extLst>
            </c:dLbl>
            <c:dLbl>
              <c:idx val="14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F-FD25-48DE-9605-54183165DA4A}"/>
                </c:ext>
              </c:extLst>
            </c:dLbl>
            <c:dLbl>
              <c:idx val="14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0-FD25-48DE-9605-54183165DA4A}"/>
                </c:ext>
              </c:extLst>
            </c:dLbl>
            <c:dLbl>
              <c:idx val="14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1-FD25-48DE-9605-54183165DA4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1" u="none" strike="noStrike" kern="1200" baseline="0">
                    <a:solidFill>
                      <a:schemeClr val="accent1"/>
                    </a:solidFill>
                    <a:latin typeface="+mj-lt"/>
                    <a:ea typeface="+mn-ea"/>
                    <a:cs typeface="+mn-cs"/>
                  </a:defRPr>
                </a:pPr>
                <a:endParaRPr lang="fr-F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Analyse!$B$7:$B$150</c:f>
              <c:numCache>
                <c:formatCode>yyyy</c:formatCode>
                <c:ptCount val="144"/>
                <c:pt idx="0">
                  <c:v>0</c:v>
                </c:pt>
              </c:numCache>
            </c:numRef>
          </c:cat>
          <c:val>
            <c:numRef>
              <c:f>Analyse!$I$7:$I$150</c:f>
              <c:numCache>
                <c:formatCode>General</c:formatCode>
                <c:ptCount val="144"/>
                <c:pt idx="0">
                  <c:v>#N/A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Analyse!$J$7:$J$150</c15:f>
                <c15:dlblRangeCache>
                  <c:ptCount val="144"/>
                  <c:pt idx="0">
                    <c:v>#REF!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122-FD25-48DE-9605-54183165DA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6881935"/>
        <c:axId val="386886255"/>
      </c:lineChart>
      <c:dateAx>
        <c:axId val="386856495"/>
        <c:scaling>
          <c:orientation val="minMax"/>
        </c:scaling>
        <c:delete val="0"/>
        <c:axPos val="b"/>
        <c:numFmt formatCode="yyyy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386870415"/>
        <c:crosses val="autoZero"/>
        <c:auto val="1"/>
        <c:lblOffset val="100"/>
        <c:baseTimeUnit val="years"/>
      </c:dateAx>
      <c:valAx>
        <c:axId val="386870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numFmt formatCode="#\ ##0&quot;M€&quot;" sourceLinked="0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386856495"/>
        <c:crosses val="autoZero"/>
        <c:crossBetween val="between"/>
        <c:dispUnits>
          <c:builtInUnit val="millions"/>
        </c:dispUnits>
      </c:valAx>
      <c:valAx>
        <c:axId val="386886255"/>
        <c:scaling>
          <c:orientation val="minMax"/>
          <c:max val="1"/>
          <c:min val="0"/>
        </c:scaling>
        <c:delete val="0"/>
        <c:axPos val="r"/>
        <c:numFmt formatCode="General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386881935"/>
        <c:crosses val="max"/>
        <c:crossBetween val="between"/>
      </c:valAx>
      <c:dateAx>
        <c:axId val="386881935"/>
        <c:scaling>
          <c:orientation val="minMax"/>
        </c:scaling>
        <c:delete val="0"/>
        <c:axPos val="t"/>
        <c:numFmt formatCode="yyyy" sourceLinked="1"/>
        <c:majorTickMark val="none"/>
        <c:minorTickMark val="none"/>
        <c:tickLblPos val="none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386886255"/>
        <c:crosses val="max"/>
        <c:auto val="1"/>
        <c:lblOffset val="100"/>
        <c:baseTimeUnit val="years"/>
      </c:date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Aptos" panose="020B0004020202020204" pitchFamily="34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4122807017543858E-2"/>
          <c:y val="0.18922467823113279"/>
          <c:w val="0.95175438596491224"/>
          <c:h val="0.71033476323324218"/>
        </c:manualLayout>
      </c:layout>
      <c:lineChart>
        <c:grouping val="standard"/>
        <c:varyColors val="0"/>
        <c:ser>
          <c:idx val="0"/>
          <c:order val="0"/>
          <c:tx>
            <c:strRef>
              <c:f>Analyse!$C$6</c:f>
              <c:strCache>
                <c:ptCount val="1"/>
                <c:pt idx="0">
                  <c:v>Chiffre d'affaires</c:v>
                </c:pt>
              </c:strCache>
            </c:strRef>
          </c:tx>
          <c:spPr>
            <a:ln w="19050" cap="rnd">
              <a:solidFill>
                <a:schemeClr val="tx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19050">
                <a:solidFill>
                  <a:schemeClr val="tx2">
                    <a:lumMod val="60000"/>
                    <a:lumOff val="40000"/>
                  </a:schemeClr>
                </a:solidFill>
              </a:ln>
              <a:effectLst/>
            </c:spPr>
          </c:marker>
          <c:dLbls>
            <c:numFmt formatCode="#\ ##0&quot;M€&quot;;\-#\ ##0&quot;M€&quot;;" sourceLinked="0"/>
            <c:spPr>
              <a:noFill/>
              <a:ln>
                <a:noFill/>
              </a:ln>
              <a:effectLst/>
            </c:spPr>
            <c:txPr>
              <a:bodyPr rot="-306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2">
                        <a:lumMod val="60000"/>
                        <a:lumOff val="40000"/>
                      </a:schemeClr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endParaRPr lang="fr-F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Analyse!$B$7:$B$150</c:f>
              <c:numCache>
                <c:formatCode>yyyy</c:formatCode>
                <c:ptCount val="144"/>
                <c:pt idx="0">
                  <c:v>0</c:v>
                </c:pt>
              </c:numCache>
            </c:numRef>
          </c:cat>
          <c:val>
            <c:numRef>
              <c:f>Analyse!$N$7:$N$150</c:f>
              <c:numCache>
                <c:formatCode>#\ ##0.0\ \ "M€"</c:formatCode>
                <c:ptCount val="144"/>
                <c:pt idx="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C15-41A7-9501-0EA4F35537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6856495"/>
        <c:axId val="386870415"/>
      </c:lineChart>
      <c:lineChart>
        <c:grouping val="standard"/>
        <c:varyColors val="0"/>
        <c:ser>
          <c:idx val="1"/>
          <c:order val="1"/>
          <c:tx>
            <c:strRef>
              <c:f>Analyse!$H$6</c:f>
              <c:strCache>
                <c:ptCount val="1"/>
                <c:pt idx="0">
                  <c:v>Positive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diamond"/>
            <c:size val="7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DC15-41A7-9501-0EA4F35537DB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DC15-41A7-9501-0EA4F35537DB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DC15-41A7-9501-0EA4F35537DB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DC15-41A7-9501-0EA4F35537DB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DC15-41A7-9501-0EA4F35537DB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DC15-41A7-9501-0EA4F35537DB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DC15-41A7-9501-0EA4F35537DB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DC15-41A7-9501-0EA4F35537DB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DC15-41A7-9501-0EA4F35537DB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DC15-41A7-9501-0EA4F35537DB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DC15-41A7-9501-0EA4F35537DB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DC15-41A7-9501-0EA4F35537DB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DC15-41A7-9501-0EA4F35537DB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DC15-41A7-9501-0EA4F35537DB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DC15-41A7-9501-0EA4F35537DB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DC15-41A7-9501-0EA4F35537DB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DC15-41A7-9501-0EA4F35537DB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DC15-41A7-9501-0EA4F35537DB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DC15-41A7-9501-0EA4F35537DB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DC15-41A7-9501-0EA4F35537DB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DC15-41A7-9501-0EA4F35537DB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DC15-41A7-9501-0EA4F35537DB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DC15-41A7-9501-0EA4F35537DB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DC15-41A7-9501-0EA4F35537DB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DC15-41A7-9501-0EA4F35537DB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DC15-41A7-9501-0EA4F35537DB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DC15-41A7-9501-0EA4F35537DB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DC15-41A7-9501-0EA4F35537DB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DC15-41A7-9501-0EA4F35537DB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DC15-41A7-9501-0EA4F35537DB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DC15-41A7-9501-0EA4F35537DB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DC15-41A7-9501-0EA4F35537DB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DC15-41A7-9501-0EA4F35537DB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DC15-41A7-9501-0EA4F35537DB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DC15-41A7-9501-0EA4F35537DB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DC15-41A7-9501-0EA4F35537DB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DC15-41A7-9501-0EA4F35537DB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DC15-41A7-9501-0EA4F35537DB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DC15-41A7-9501-0EA4F35537DB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DC15-41A7-9501-0EA4F35537DB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DC15-41A7-9501-0EA4F35537DB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DC15-41A7-9501-0EA4F35537DB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DC15-41A7-9501-0EA4F35537DB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DC15-41A7-9501-0EA4F35537DB}"/>
                </c:ext>
              </c:extLst>
            </c:dLbl>
            <c:dLbl>
              <c:idx val="4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DC15-41A7-9501-0EA4F35537DB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DC15-41A7-9501-0EA4F35537DB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DC15-41A7-9501-0EA4F35537DB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DC15-41A7-9501-0EA4F35537DB}"/>
                </c:ext>
              </c:extLst>
            </c:dLbl>
            <c:dLbl>
              <c:idx val="4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DC15-41A7-9501-0EA4F35537DB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DC15-41A7-9501-0EA4F35537DB}"/>
                </c:ext>
              </c:extLst>
            </c:dLbl>
            <c:dLbl>
              <c:idx val="5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DC15-41A7-9501-0EA4F35537DB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DC15-41A7-9501-0EA4F35537DB}"/>
                </c:ext>
              </c:extLst>
            </c:dLbl>
            <c:dLbl>
              <c:idx val="5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DC15-41A7-9501-0EA4F35537DB}"/>
                </c:ext>
              </c:extLst>
            </c:dLbl>
            <c:dLbl>
              <c:idx val="5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DC15-41A7-9501-0EA4F35537DB}"/>
                </c:ext>
              </c:extLst>
            </c:dLbl>
            <c:dLbl>
              <c:idx val="5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DC15-41A7-9501-0EA4F35537DB}"/>
                </c:ext>
              </c:extLst>
            </c:dLbl>
            <c:dLbl>
              <c:idx val="5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DC15-41A7-9501-0EA4F35537DB}"/>
                </c:ext>
              </c:extLst>
            </c:dLbl>
            <c:dLbl>
              <c:idx val="5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DC15-41A7-9501-0EA4F35537DB}"/>
                </c:ext>
              </c:extLst>
            </c:dLbl>
            <c:dLbl>
              <c:idx val="5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DC15-41A7-9501-0EA4F35537DB}"/>
                </c:ext>
              </c:extLst>
            </c:dLbl>
            <c:dLbl>
              <c:idx val="5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DC15-41A7-9501-0EA4F35537DB}"/>
                </c:ext>
              </c:extLst>
            </c:dLbl>
            <c:dLbl>
              <c:idx val="5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DC15-41A7-9501-0EA4F35537DB}"/>
                </c:ext>
              </c:extLst>
            </c:dLbl>
            <c:dLbl>
              <c:idx val="6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D-DC15-41A7-9501-0EA4F35537DB}"/>
                </c:ext>
              </c:extLst>
            </c:dLbl>
            <c:dLbl>
              <c:idx val="6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E-DC15-41A7-9501-0EA4F35537DB}"/>
                </c:ext>
              </c:extLst>
            </c:dLbl>
            <c:dLbl>
              <c:idx val="6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F-DC15-41A7-9501-0EA4F35537DB}"/>
                </c:ext>
              </c:extLst>
            </c:dLbl>
            <c:dLbl>
              <c:idx val="6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0-DC15-41A7-9501-0EA4F35537DB}"/>
                </c:ext>
              </c:extLst>
            </c:dLbl>
            <c:dLbl>
              <c:idx val="6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1-DC15-41A7-9501-0EA4F35537DB}"/>
                </c:ext>
              </c:extLst>
            </c:dLbl>
            <c:dLbl>
              <c:idx val="6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2-DC15-41A7-9501-0EA4F35537DB}"/>
                </c:ext>
              </c:extLst>
            </c:dLbl>
            <c:dLbl>
              <c:idx val="6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3-DC15-41A7-9501-0EA4F35537DB}"/>
                </c:ext>
              </c:extLst>
            </c:dLbl>
            <c:dLbl>
              <c:idx val="6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DC15-41A7-9501-0EA4F35537DB}"/>
                </c:ext>
              </c:extLst>
            </c:dLbl>
            <c:dLbl>
              <c:idx val="6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5-DC15-41A7-9501-0EA4F35537DB}"/>
                </c:ext>
              </c:extLst>
            </c:dLbl>
            <c:dLbl>
              <c:idx val="6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DC15-41A7-9501-0EA4F35537DB}"/>
                </c:ext>
              </c:extLst>
            </c:dLbl>
            <c:dLbl>
              <c:idx val="7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7-DC15-41A7-9501-0EA4F35537DB}"/>
                </c:ext>
              </c:extLst>
            </c:dLbl>
            <c:dLbl>
              <c:idx val="7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DC15-41A7-9501-0EA4F35537DB}"/>
                </c:ext>
              </c:extLst>
            </c:dLbl>
            <c:dLbl>
              <c:idx val="7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9-DC15-41A7-9501-0EA4F35537DB}"/>
                </c:ext>
              </c:extLst>
            </c:dLbl>
            <c:dLbl>
              <c:idx val="7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DC15-41A7-9501-0EA4F35537DB}"/>
                </c:ext>
              </c:extLst>
            </c:dLbl>
            <c:dLbl>
              <c:idx val="7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B-DC15-41A7-9501-0EA4F35537DB}"/>
                </c:ext>
              </c:extLst>
            </c:dLbl>
            <c:dLbl>
              <c:idx val="7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C-DC15-41A7-9501-0EA4F35537DB}"/>
                </c:ext>
              </c:extLst>
            </c:dLbl>
            <c:dLbl>
              <c:idx val="7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D-DC15-41A7-9501-0EA4F35537DB}"/>
                </c:ext>
              </c:extLst>
            </c:dLbl>
            <c:dLbl>
              <c:idx val="7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E-DC15-41A7-9501-0EA4F35537DB}"/>
                </c:ext>
              </c:extLst>
            </c:dLbl>
            <c:dLbl>
              <c:idx val="7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F-DC15-41A7-9501-0EA4F35537DB}"/>
                </c:ext>
              </c:extLst>
            </c:dLbl>
            <c:dLbl>
              <c:idx val="7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0-DC15-41A7-9501-0EA4F35537DB}"/>
                </c:ext>
              </c:extLst>
            </c:dLbl>
            <c:dLbl>
              <c:idx val="8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1-DC15-41A7-9501-0EA4F35537DB}"/>
                </c:ext>
              </c:extLst>
            </c:dLbl>
            <c:dLbl>
              <c:idx val="8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2-DC15-41A7-9501-0EA4F35537DB}"/>
                </c:ext>
              </c:extLst>
            </c:dLbl>
            <c:dLbl>
              <c:idx val="8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3-DC15-41A7-9501-0EA4F35537DB}"/>
                </c:ext>
              </c:extLst>
            </c:dLbl>
            <c:dLbl>
              <c:idx val="8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4-DC15-41A7-9501-0EA4F35537DB}"/>
                </c:ext>
              </c:extLst>
            </c:dLbl>
            <c:dLbl>
              <c:idx val="8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5-DC15-41A7-9501-0EA4F35537DB}"/>
                </c:ext>
              </c:extLst>
            </c:dLbl>
            <c:dLbl>
              <c:idx val="8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6-DC15-41A7-9501-0EA4F35537DB}"/>
                </c:ext>
              </c:extLst>
            </c:dLbl>
            <c:dLbl>
              <c:idx val="8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7-DC15-41A7-9501-0EA4F35537DB}"/>
                </c:ext>
              </c:extLst>
            </c:dLbl>
            <c:dLbl>
              <c:idx val="8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8-DC15-41A7-9501-0EA4F35537DB}"/>
                </c:ext>
              </c:extLst>
            </c:dLbl>
            <c:dLbl>
              <c:idx val="8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9-DC15-41A7-9501-0EA4F35537DB}"/>
                </c:ext>
              </c:extLst>
            </c:dLbl>
            <c:dLbl>
              <c:idx val="8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A-DC15-41A7-9501-0EA4F35537DB}"/>
                </c:ext>
              </c:extLst>
            </c:dLbl>
            <c:dLbl>
              <c:idx val="9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B-DC15-41A7-9501-0EA4F35537DB}"/>
                </c:ext>
              </c:extLst>
            </c:dLbl>
            <c:dLbl>
              <c:idx val="9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C-DC15-41A7-9501-0EA4F35537DB}"/>
                </c:ext>
              </c:extLst>
            </c:dLbl>
            <c:dLbl>
              <c:idx val="9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D-DC15-41A7-9501-0EA4F35537DB}"/>
                </c:ext>
              </c:extLst>
            </c:dLbl>
            <c:dLbl>
              <c:idx val="9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E-DC15-41A7-9501-0EA4F35537DB}"/>
                </c:ext>
              </c:extLst>
            </c:dLbl>
            <c:dLbl>
              <c:idx val="9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F-DC15-41A7-9501-0EA4F35537DB}"/>
                </c:ext>
              </c:extLst>
            </c:dLbl>
            <c:dLbl>
              <c:idx val="9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0-DC15-41A7-9501-0EA4F35537DB}"/>
                </c:ext>
              </c:extLst>
            </c:dLbl>
            <c:dLbl>
              <c:idx val="9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1-DC15-41A7-9501-0EA4F35537DB}"/>
                </c:ext>
              </c:extLst>
            </c:dLbl>
            <c:dLbl>
              <c:idx val="9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2-DC15-41A7-9501-0EA4F35537DB}"/>
                </c:ext>
              </c:extLst>
            </c:dLbl>
            <c:dLbl>
              <c:idx val="9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3-DC15-41A7-9501-0EA4F35537DB}"/>
                </c:ext>
              </c:extLst>
            </c:dLbl>
            <c:dLbl>
              <c:idx val="9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4-DC15-41A7-9501-0EA4F35537DB}"/>
                </c:ext>
              </c:extLst>
            </c:dLbl>
            <c:dLbl>
              <c:idx val="10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5-DC15-41A7-9501-0EA4F35537DB}"/>
                </c:ext>
              </c:extLst>
            </c:dLbl>
            <c:dLbl>
              <c:idx val="10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6-DC15-41A7-9501-0EA4F35537DB}"/>
                </c:ext>
              </c:extLst>
            </c:dLbl>
            <c:dLbl>
              <c:idx val="10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7-DC15-41A7-9501-0EA4F35537DB}"/>
                </c:ext>
              </c:extLst>
            </c:dLbl>
            <c:dLbl>
              <c:idx val="10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8-DC15-41A7-9501-0EA4F35537DB}"/>
                </c:ext>
              </c:extLst>
            </c:dLbl>
            <c:dLbl>
              <c:idx val="10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9-DC15-41A7-9501-0EA4F35537DB}"/>
                </c:ext>
              </c:extLst>
            </c:dLbl>
            <c:dLbl>
              <c:idx val="10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A-DC15-41A7-9501-0EA4F35537DB}"/>
                </c:ext>
              </c:extLst>
            </c:dLbl>
            <c:dLbl>
              <c:idx val="10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B-DC15-41A7-9501-0EA4F35537DB}"/>
                </c:ext>
              </c:extLst>
            </c:dLbl>
            <c:dLbl>
              <c:idx val="10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C-DC15-41A7-9501-0EA4F35537DB}"/>
                </c:ext>
              </c:extLst>
            </c:dLbl>
            <c:dLbl>
              <c:idx val="10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D-DC15-41A7-9501-0EA4F35537DB}"/>
                </c:ext>
              </c:extLst>
            </c:dLbl>
            <c:dLbl>
              <c:idx val="10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E-DC15-41A7-9501-0EA4F35537DB}"/>
                </c:ext>
              </c:extLst>
            </c:dLbl>
            <c:dLbl>
              <c:idx val="11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F-DC15-41A7-9501-0EA4F35537DB}"/>
                </c:ext>
              </c:extLst>
            </c:dLbl>
            <c:dLbl>
              <c:idx val="11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0-DC15-41A7-9501-0EA4F35537DB}"/>
                </c:ext>
              </c:extLst>
            </c:dLbl>
            <c:dLbl>
              <c:idx val="11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1-DC15-41A7-9501-0EA4F35537DB}"/>
                </c:ext>
              </c:extLst>
            </c:dLbl>
            <c:dLbl>
              <c:idx val="11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2-DC15-41A7-9501-0EA4F35537DB}"/>
                </c:ext>
              </c:extLst>
            </c:dLbl>
            <c:dLbl>
              <c:idx val="11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3-DC15-41A7-9501-0EA4F35537DB}"/>
                </c:ext>
              </c:extLst>
            </c:dLbl>
            <c:dLbl>
              <c:idx val="11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4-DC15-41A7-9501-0EA4F35537DB}"/>
                </c:ext>
              </c:extLst>
            </c:dLbl>
            <c:dLbl>
              <c:idx val="11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5-DC15-41A7-9501-0EA4F35537DB}"/>
                </c:ext>
              </c:extLst>
            </c:dLbl>
            <c:dLbl>
              <c:idx val="11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6-DC15-41A7-9501-0EA4F35537DB}"/>
                </c:ext>
              </c:extLst>
            </c:dLbl>
            <c:dLbl>
              <c:idx val="11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7-DC15-41A7-9501-0EA4F35537DB}"/>
                </c:ext>
              </c:extLst>
            </c:dLbl>
            <c:dLbl>
              <c:idx val="11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8-DC15-41A7-9501-0EA4F35537DB}"/>
                </c:ext>
              </c:extLst>
            </c:dLbl>
            <c:dLbl>
              <c:idx val="12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9-DC15-41A7-9501-0EA4F35537DB}"/>
                </c:ext>
              </c:extLst>
            </c:dLbl>
            <c:dLbl>
              <c:idx val="12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A-DC15-41A7-9501-0EA4F35537DB}"/>
                </c:ext>
              </c:extLst>
            </c:dLbl>
            <c:dLbl>
              <c:idx val="12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B-DC15-41A7-9501-0EA4F35537DB}"/>
                </c:ext>
              </c:extLst>
            </c:dLbl>
            <c:dLbl>
              <c:idx val="12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C-DC15-41A7-9501-0EA4F35537DB}"/>
                </c:ext>
              </c:extLst>
            </c:dLbl>
            <c:dLbl>
              <c:idx val="12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D-DC15-41A7-9501-0EA4F35537DB}"/>
                </c:ext>
              </c:extLst>
            </c:dLbl>
            <c:dLbl>
              <c:idx val="12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E-DC15-41A7-9501-0EA4F35537DB}"/>
                </c:ext>
              </c:extLst>
            </c:dLbl>
            <c:dLbl>
              <c:idx val="12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F-DC15-41A7-9501-0EA4F35537DB}"/>
                </c:ext>
              </c:extLst>
            </c:dLbl>
            <c:dLbl>
              <c:idx val="12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0-DC15-41A7-9501-0EA4F35537DB}"/>
                </c:ext>
              </c:extLst>
            </c:dLbl>
            <c:dLbl>
              <c:idx val="12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1-DC15-41A7-9501-0EA4F35537DB}"/>
                </c:ext>
              </c:extLst>
            </c:dLbl>
            <c:dLbl>
              <c:idx val="12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2-DC15-41A7-9501-0EA4F35537DB}"/>
                </c:ext>
              </c:extLst>
            </c:dLbl>
            <c:dLbl>
              <c:idx val="13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3-DC15-41A7-9501-0EA4F35537DB}"/>
                </c:ext>
              </c:extLst>
            </c:dLbl>
            <c:dLbl>
              <c:idx val="13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4-DC15-41A7-9501-0EA4F35537DB}"/>
                </c:ext>
              </c:extLst>
            </c:dLbl>
            <c:dLbl>
              <c:idx val="13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5-DC15-41A7-9501-0EA4F35537DB}"/>
                </c:ext>
              </c:extLst>
            </c:dLbl>
            <c:dLbl>
              <c:idx val="13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6-DC15-41A7-9501-0EA4F35537DB}"/>
                </c:ext>
              </c:extLst>
            </c:dLbl>
            <c:dLbl>
              <c:idx val="13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7-DC15-41A7-9501-0EA4F35537DB}"/>
                </c:ext>
              </c:extLst>
            </c:dLbl>
            <c:dLbl>
              <c:idx val="13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8-DC15-41A7-9501-0EA4F35537DB}"/>
                </c:ext>
              </c:extLst>
            </c:dLbl>
            <c:dLbl>
              <c:idx val="13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9-DC15-41A7-9501-0EA4F35537DB}"/>
                </c:ext>
              </c:extLst>
            </c:dLbl>
            <c:dLbl>
              <c:idx val="13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A-DC15-41A7-9501-0EA4F35537DB}"/>
                </c:ext>
              </c:extLst>
            </c:dLbl>
            <c:dLbl>
              <c:idx val="13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B-DC15-41A7-9501-0EA4F35537DB}"/>
                </c:ext>
              </c:extLst>
            </c:dLbl>
            <c:dLbl>
              <c:idx val="13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C-DC15-41A7-9501-0EA4F35537DB}"/>
                </c:ext>
              </c:extLst>
            </c:dLbl>
            <c:dLbl>
              <c:idx val="14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D-DC15-41A7-9501-0EA4F35537DB}"/>
                </c:ext>
              </c:extLst>
            </c:dLbl>
            <c:dLbl>
              <c:idx val="14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E-DC15-41A7-9501-0EA4F35537DB}"/>
                </c:ext>
              </c:extLst>
            </c:dLbl>
            <c:dLbl>
              <c:idx val="14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F-DC15-41A7-9501-0EA4F35537DB}"/>
                </c:ext>
              </c:extLst>
            </c:dLbl>
            <c:dLbl>
              <c:idx val="14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0-DC15-41A7-9501-0EA4F35537D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1" u="none" strike="noStrike" kern="1200" baseline="0">
                    <a:solidFill>
                      <a:schemeClr val="accent6"/>
                    </a:solidFill>
                    <a:latin typeface="+mj-lt"/>
                    <a:ea typeface="+mn-ea"/>
                    <a:cs typeface="+mn-cs"/>
                  </a:defRPr>
                </a:pPr>
                <a:endParaRPr lang="fr-F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Analyse!$B$7:$B$150</c:f>
              <c:numCache>
                <c:formatCode>yyyy</c:formatCode>
                <c:ptCount val="144"/>
                <c:pt idx="0">
                  <c:v>0</c:v>
                </c:pt>
              </c:numCache>
            </c:numRef>
          </c:cat>
          <c:val>
            <c:numRef>
              <c:f>Analyse!$S$7:$S$150</c:f>
              <c:numCache>
                <c:formatCode>General</c:formatCode>
                <c:ptCount val="144"/>
                <c:pt idx="0">
                  <c:v>#N/A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Analyse!$U$7:$U$150</c15:f>
                <c15:dlblRangeCache>
                  <c:ptCount val="144"/>
                  <c:pt idx="0">
                    <c:v>#REF!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91-DC15-41A7-9501-0EA4F35537DB}"/>
            </c:ext>
          </c:extLst>
        </c:ser>
        <c:ser>
          <c:idx val="2"/>
          <c:order val="2"/>
          <c:tx>
            <c:strRef>
              <c:f>Analyse!$I$6</c:f>
              <c:strCache>
                <c:ptCount val="1"/>
                <c:pt idx="0">
                  <c:v>Negative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2-DC15-41A7-9501-0EA4F35537DB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3-DC15-41A7-9501-0EA4F35537DB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4-DC15-41A7-9501-0EA4F35537DB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5-DC15-41A7-9501-0EA4F35537DB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6-DC15-41A7-9501-0EA4F35537DB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7-DC15-41A7-9501-0EA4F35537DB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8-DC15-41A7-9501-0EA4F35537DB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9-DC15-41A7-9501-0EA4F35537DB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A-DC15-41A7-9501-0EA4F35537DB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B-DC15-41A7-9501-0EA4F35537DB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C-DC15-41A7-9501-0EA4F35537DB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D-DC15-41A7-9501-0EA4F35537DB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E-DC15-41A7-9501-0EA4F35537DB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F-DC15-41A7-9501-0EA4F35537DB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0-DC15-41A7-9501-0EA4F35537DB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1-DC15-41A7-9501-0EA4F35537DB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2-DC15-41A7-9501-0EA4F35537DB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3-DC15-41A7-9501-0EA4F35537DB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4-DC15-41A7-9501-0EA4F35537DB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5-DC15-41A7-9501-0EA4F35537DB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6-DC15-41A7-9501-0EA4F35537DB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7-DC15-41A7-9501-0EA4F35537DB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8-DC15-41A7-9501-0EA4F35537DB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9-DC15-41A7-9501-0EA4F35537DB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A-DC15-41A7-9501-0EA4F35537DB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B-DC15-41A7-9501-0EA4F35537DB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C-DC15-41A7-9501-0EA4F35537DB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D-DC15-41A7-9501-0EA4F35537DB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E-DC15-41A7-9501-0EA4F35537DB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F-DC15-41A7-9501-0EA4F35537DB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0-DC15-41A7-9501-0EA4F35537DB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1-DC15-41A7-9501-0EA4F35537DB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2-DC15-41A7-9501-0EA4F35537DB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3-DC15-41A7-9501-0EA4F35537DB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4-DC15-41A7-9501-0EA4F35537DB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5-DC15-41A7-9501-0EA4F35537DB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6-DC15-41A7-9501-0EA4F35537DB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7-DC15-41A7-9501-0EA4F35537DB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8-DC15-41A7-9501-0EA4F35537DB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9-DC15-41A7-9501-0EA4F35537DB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A-DC15-41A7-9501-0EA4F35537DB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B-DC15-41A7-9501-0EA4F35537DB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C-DC15-41A7-9501-0EA4F35537DB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D-DC15-41A7-9501-0EA4F35537DB}"/>
                </c:ext>
              </c:extLst>
            </c:dLbl>
            <c:dLbl>
              <c:idx val="4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E-DC15-41A7-9501-0EA4F35537DB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F-DC15-41A7-9501-0EA4F35537DB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0-DC15-41A7-9501-0EA4F35537DB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1-DC15-41A7-9501-0EA4F35537DB}"/>
                </c:ext>
              </c:extLst>
            </c:dLbl>
            <c:dLbl>
              <c:idx val="4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2-DC15-41A7-9501-0EA4F35537DB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3-DC15-41A7-9501-0EA4F35537DB}"/>
                </c:ext>
              </c:extLst>
            </c:dLbl>
            <c:dLbl>
              <c:idx val="5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4-DC15-41A7-9501-0EA4F35537DB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5-DC15-41A7-9501-0EA4F35537DB}"/>
                </c:ext>
              </c:extLst>
            </c:dLbl>
            <c:dLbl>
              <c:idx val="5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6-DC15-41A7-9501-0EA4F35537DB}"/>
                </c:ext>
              </c:extLst>
            </c:dLbl>
            <c:dLbl>
              <c:idx val="5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7-DC15-41A7-9501-0EA4F35537DB}"/>
                </c:ext>
              </c:extLst>
            </c:dLbl>
            <c:dLbl>
              <c:idx val="5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8-DC15-41A7-9501-0EA4F35537DB}"/>
                </c:ext>
              </c:extLst>
            </c:dLbl>
            <c:dLbl>
              <c:idx val="5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9-DC15-41A7-9501-0EA4F35537DB}"/>
                </c:ext>
              </c:extLst>
            </c:dLbl>
            <c:dLbl>
              <c:idx val="5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A-DC15-41A7-9501-0EA4F35537DB}"/>
                </c:ext>
              </c:extLst>
            </c:dLbl>
            <c:dLbl>
              <c:idx val="5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B-DC15-41A7-9501-0EA4F35537DB}"/>
                </c:ext>
              </c:extLst>
            </c:dLbl>
            <c:dLbl>
              <c:idx val="5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C-DC15-41A7-9501-0EA4F35537DB}"/>
                </c:ext>
              </c:extLst>
            </c:dLbl>
            <c:dLbl>
              <c:idx val="5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D-DC15-41A7-9501-0EA4F35537DB}"/>
                </c:ext>
              </c:extLst>
            </c:dLbl>
            <c:dLbl>
              <c:idx val="6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E-DC15-41A7-9501-0EA4F35537DB}"/>
                </c:ext>
              </c:extLst>
            </c:dLbl>
            <c:dLbl>
              <c:idx val="6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F-DC15-41A7-9501-0EA4F35537DB}"/>
                </c:ext>
              </c:extLst>
            </c:dLbl>
            <c:dLbl>
              <c:idx val="6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0-DC15-41A7-9501-0EA4F35537DB}"/>
                </c:ext>
              </c:extLst>
            </c:dLbl>
            <c:dLbl>
              <c:idx val="6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1-DC15-41A7-9501-0EA4F35537DB}"/>
                </c:ext>
              </c:extLst>
            </c:dLbl>
            <c:dLbl>
              <c:idx val="6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2-DC15-41A7-9501-0EA4F35537DB}"/>
                </c:ext>
              </c:extLst>
            </c:dLbl>
            <c:dLbl>
              <c:idx val="6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3-DC15-41A7-9501-0EA4F35537DB}"/>
                </c:ext>
              </c:extLst>
            </c:dLbl>
            <c:dLbl>
              <c:idx val="6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4-DC15-41A7-9501-0EA4F35537DB}"/>
                </c:ext>
              </c:extLst>
            </c:dLbl>
            <c:dLbl>
              <c:idx val="6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5-DC15-41A7-9501-0EA4F35537DB}"/>
                </c:ext>
              </c:extLst>
            </c:dLbl>
            <c:dLbl>
              <c:idx val="6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6-DC15-41A7-9501-0EA4F35537DB}"/>
                </c:ext>
              </c:extLst>
            </c:dLbl>
            <c:dLbl>
              <c:idx val="6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7-DC15-41A7-9501-0EA4F35537DB}"/>
                </c:ext>
              </c:extLst>
            </c:dLbl>
            <c:dLbl>
              <c:idx val="7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8-DC15-41A7-9501-0EA4F35537DB}"/>
                </c:ext>
              </c:extLst>
            </c:dLbl>
            <c:dLbl>
              <c:idx val="7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9-DC15-41A7-9501-0EA4F35537DB}"/>
                </c:ext>
              </c:extLst>
            </c:dLbl>
            <c:dLbl>
              <c:idx val="7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A-DC15-41A7-9501-0EA4F35537DB}"/>
                </c:ext>
              </c:extLst>
            </c:dLbl>
            <c:dLbl>
              <c:idx val="7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B-DC15-41A7-9501-0EA4F35537DB}"/>
                </c:ext>
              </c:extLst>
            </c:dLbl>
            <c:dLbl>
              <c:idx val="7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C-DC15-41A7-9501-0EA4F35537DB}"/>
                </c:ext>
              </c:extLst>
            </c:dLbl>
            <c:dLbl>
              <c:idx val="7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D-DC15-41A7-9501-0EA4F35537DB}"/>
                </c:ext>
              </c:extLst>
            </c:dLbl>
            <c:dLbl>
              <c:idx val="7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E-DC15-41A7-9501-0EA4F35537DB}"/>
                </c:ext>
              </c:extLst>
            </c:dLbl>
            <c:dLbl>
              <c:idx val="7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F-DC15-41A7-9501-0EA4F35537DB}"/>
                </c:ext>
              </c:extLst>
            </c:dLbl>
            <c:dLbl>
              <c:idx val="7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0-DC15-41A7-9501-0EA4F35537DB}"/>
                </c:ext>
              </c:extLst>
            </c:dLbl>
            <c:dLbl>
              <c:idx val="7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1-DC15-41A7-9501-0EA4F35537DB}"/>
                </c:ext>
              </c:extLst>
            </c:dLbl>
            <c:dLbl>
              <c:idx val="8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2-DC15-41A7-9501-0EA4F35537DB}"/>
                </c:ext>
              </c:extLst>
            </c:dLbl>
            <c:dLbl>
              <c:idx val="8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3-DC15-41A7-9501-0EA4F35537DB}"/>
                </c:ext>
              </c:extLst>
            </c:dLbl>
            <c:dLbl>
              <c:idx val="8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4-DC15-41A7-9501-0EA4F35537DB}"/>
                </c:ext>
              </c:extLst>
            </c:dLbl>
            <c:dLbl>
              <c:idx val="8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5-DC15-41A7-9501-0EA4F35537DB}"/>
                </c:ext>
              </c:extLst>
            </c:dLbl>
            <c:dLbl>
              <c:idx val="8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6-DC15-41A7-9501-0EA4F35537DB}"/>
                </c:ext>
              </c:extLst>
            </c:dLbl>
            <c:dLbl>
              <c:idx val="8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7-DC15-41A7-9501-0EA4F35537DB}"/>
                </c:ext>
              </c:extLst>
            </c:dLbl>
            <c:dLbl>
              <c:idx val="8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8-DC15-41A7-9501-0EA4F35537DB}"/>
                </c:ext>
              </c:extLst>
            </c:dLbl>
            <c:dLbl>
              <c:idx val="8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9-DC15-41A7-9501-0EA4F35537DB}"/>
                </c:ext>
              </c:extLst>
            </c:dLbl>
            <c:dLbl>
              <c:idx val="8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A-DC15-41A7-9501-0EA4F35537DB}"/>
                </c:ext>
              </c:extLst>
            </c:dLbl>
            <c:dLbl>
              <c:idx val="8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B-DC15-41A7-9501-0EA4F35537DB}"/>
                </c:ext>
              </c:extLst>
            </c:dLbl>
            <c:dLbl>
              <c:idx val="9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C-DC15-41A7-9501-0EA4F35537DB}"/>
                </c:ext>
              </c:extLst>
            </c:dLbl>
            <c:dLbl>
              <c:idx val="9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D-DC15-41A7-9501-0EA4F35537DB}"/>
                </c:ext>
              </c:extLst>
            </c:dLbl>
            <c:dLbl>
              <c:idx val="9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E-DC15-41A7-9501-0EA4F35537DB}"/>
                </c:ext>
              </c:extLst>
            </c:dLbl>
            <c:dLbl>
              <c:idx val="9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F-DC15-41A7-9501-0EA4F35537DB}"/>
                </c:ext>
              </c:extLst>
            </c:dLbl>
            <c:dLbl>
              <c:idx val="9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0-DC15-41A7-9501-0EA4F35537DB}"/>
                </c:ext>
              </c:extLst>
            </c:dLbl>
            <c:dLbl>
              <c:idx val="9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1-DC15-41A7-9501-0EA4F35537DB}"/>
                </c:ext>
              </c:extLst>
            </c:dLbl>
            <c:dLbl>
              <c:idx val="9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2-DC15-41A7-9501-0EA4F35537DB}"/>
                </c:ext>
              </c:extLst>
            </c:dLbl>
            <c:dLbl>
              <c:idx val="9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3-DC15-41A7-9501-0EA4F35537DB}"/>
                </c:ext>
              </c:extLst>
            </c:dLbl>
            <c:dLbl>
              <c:idx val="9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4-DC15-41A7-9501-0EA4F35537DB}"/>
                </c:ext>
              </c:extLst>
            </c:dLbl>
            <c:dLbl>
              <c:idx val="9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5-DC15-41A7-9501-0EA4F35537DB}"/>
                </c:ext>
              </c:extLst>
            </c:dLbl>
            <c:dLbl>
              <c:idx val="10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6-DC15-41A7-9501-0EA4F35537DB}"/>
                </c:ext>
              </c:extLst>
            </c:dLbl>
            <c:dLbl>
              <c:idx val="10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7-DC15-41A7-9501-0EA4F35537DB}"/>
                </c:ext>
              </c:extLst>
            </c:dLbl>
            <c:dLbl>
              <c:idx val="10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8-DC15-41A7-9501-0EA4F35537DB}"/>
                </c:ext>
              </c:extLst>
            </c:dLbl>
            <c:dLbl>
              <c:idx val="10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9-DC15-41A7-9501-0EA4F35537DB}"/>
                </c:ext>
              </c:extLst>
            </c:dLbl>
            <c:dLbl>
              <c:idx val="10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A-DC15-41A7-9501-0EA4F35537DB}"/>
                </c:ext>
              </c:extLst>
            </c:dLbl>
            <c:dLbl>
              <c:idx val="10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B-DC15-41A7-9501-0EA4F35537DB}"/>
                </c:ext>
              </c:extLst>
            </c:dLbl>
            <c:dLbl>
              <c:idx val="10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C-DC15-41A7-9501-0EA4F35537DB}"/>
                </c:ext>
              </c:extLst>
            </c:dLbl>
            <c:dLbl>
              <c:idx val="10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D-DC15-41A7-9501-0EA4F35537DB}"/>
                </c:ext>
              </c:extLst>
            </c:dLbl>
            <c:dLbl>
              <c:idx val="10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E-DC15-41A7-9501-0EA4F35537DB}"/>
                </c:ext>
              </c:extLst>
            </c:dLbl>
            <c:dLbl>
              <c:idx val="10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F-DC15-41A7-9501-0EA4F35537DB}"/>
                </c:ext>
              </c:extLst>
            </c:dLbl>
            <c:dLbl>
              <c:idx val="11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0-DC15-41A7-9501-0EA4F35537DB}"/>
                </c:ext>
              </c:extLst>
            </c:dLbl>
            <c:dLbl>
              <c:idx val="11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1-DC15-41A7-9501-0EA4F35537DB}"/>
                </c:ext>
              </c:extLst>
            </c:dLbl>
            <c:dLbl>
              <c:idx val="11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2-DC15-41A7-9501-0EA4F35537DB}"/>
                </c:ext>
              </c:extLst>
            </c:dLbl>
            <c:dLbl>
              <c:idx val="11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3-DC15-41A7-9501-0EA4F35537DB}"/>
                </c:ext>
              </c:extLst>
            </c:dLbl>
            <c:dLbl>
              <c:idx val="11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4-DC15-41A7-9501-0EA4F35537DB}"/>
                </c:ext>
              </c:extLst>
            </c:dLbl>
            <c:dLbl>
              <c:idx val="11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5-DC15-41A7-9501-0EA4F35537DB}"/>
                </c:ext>
              </c:extLst>
            </c:dLbl>
            <c:dLbl>
              <c:idx val="11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6-DC15-41A7-9501-0EA4F35537DB}"/>
                </c:ext>
              </c:extLst>
            </c:dLbl>
            <c:dLbl>
              <c:idx val="11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7-DC15-41A7-9501-0EA4F35537DB}"/>
                </c:ext>
              </c:extLst>
            </c:dLbl>
            <c:dLbl>
              <c:idx val="11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8-DC15-41A7-9501-0EA4F35537DB}"/>
                </c:ext>
              </c:extLst>
            </c:dLbl>
            <c:dLbl>
              <c:idx val="11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9-DC15-41A7-9501-0EA4F35537DB}"/>
                </c:ext>
              </c:extLst>
            </c:dLbl>
            <c:dLbl>
              <c:idx val="12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A-DC15-41A7-9501-0EA4F35537DB}"/>
                </c:ext>
              </c:extLst>
            </c:dLbl>
            <c:dLbl>
              <c:idx val="12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B-DC15-41A7-9501-0EA4F35537DB}"/>
                </c:ext>
              </c:extLst>
            </c:dLbl>
            <c:dLbl>
              <c:idx val="12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C-DC15-41A7-9501-0EA4F35537DB}"/>
                </c:ext>
              </c:extLst>
            </c:dLbl>
            <c:dLbl>
              <c:idx val="12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D-DC15-41A7-9501-0EA4F35537DB}"/>
                </c:ext>
              </c:extLst>
            </c:dLbl>
            <c:dLbl>
              <c:idx val="12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E-DC15-41A7-9501-0EA4F35537DB}"/>
                </c:ext>
              </c:extLst>
            </c:dLbl>
            <c:dLbl>
              <c:idx val="12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F-DC15-41A7-9501-0EA4F35537DB}"/>
                </c:ext>
              </c:extLst>
            </c:dLbl>
            <c:dLbl>
              <c:idx val="12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0-DC15-41A7-9501-0EA4F35537DB}"/>
                </c:ext>
              </c:extLst>
            </c:dLbl>
            <c:dLbl>
              <c:idx val="12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1-DC15-41A7-9501-0EA4F35537DB}"/>
                </c:ext>
              </c:extLst>
            </c:dLbl>
            <c:dLbl>
              <c:idx val="12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2-DC15-41A7-9501-0EA4F35537DB}"/>
                </c:ext>
              </c:extLst>
            </c:dLbl>
            <c:dLbl>
              <c:idx val="12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3-DC15-41A7-9501-0EA4F35537DB}"/>
                </c:ext>
              </c:extLst>
            </c:dLbl>
            <c:dLbl>
              <c:idx val="13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4-DC15-41A7-9501-0EA4F35537DB}"/>
                </c:ext>
              </c:extLst>
            </c:dLbl>
            <c:dLbl>
              <c:idx val="13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5-DC15-41A7-9501-0EA4F35537DB}"/>
                </c:ext>
              </c:extLst>
            </c:dLbl>
            <c:dLbl>
              <c:idx val="13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6-DC15-41A7-9501-0EA4F35537DB}"/>
                </c:ext>
              </c:extLst>
            </c:dLbl>
            <c:dLbl>
              <c:idx val="13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7-DC15-41A7-9501-0EA4F35537DB}"/>
                </c:ext>
              </c:extLst>
            </c:dLbl>
            <c:dLbl>
              <c:idx val="13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8-DC15-41A7-9501-0EA4F35537DB}"/>
                </c:ext>
              </c:extLst>
            </c:dLbl>
            <c:dLbl>
              <c:idx val="13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9-DC15-41A7-9501-0EA4F35537DB}"/>
                </c:ext>
              </c:extLst>
            </c:dLbl>
            <c:dLbl>
              <c:idx val="13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A-DC15-41A7-9501-0EA4F35537DB}"/>
                </c:ext>
              </c:extLst>
            </c:dLbl>
            <c:dLbl>
              <c:idx val="13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B-DC15-41A7-9501-0EA4F35537DB}"/>
                </c:ext>
              </c:extLst>
            </c:dLbl>
            <c:dLbl>
              <c:idx val="13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C-DC15-41A7-9501-0EA4F35537DB}"/>
                </c:ext>
              </c:extLst>
            </c:dLbl>
            <c:dLbl>
              <c:idx val="13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D-DC15-41A7-9501-0EA4F35537DB}"/>
                </c:ext>
              </c:extLst>
            </c:dLbl>
            <c:dLbl>
              <c:idx val="14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E-DC15-41A7-9501-0EA4F35537DB}"/>
                </c:ext>
              </c:extLst>
            </c:dLbl>
            <c:dLbl>
              <c:idx val="14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F-DC15-41A7-9501-0EA4F35537DB}"/>
                </c:ext>
              </c:extLst>
            </c:dLbl>
            <c:dLbl>
              <c:idx val="14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0-DC15-41A7-9501-0EA4F35537DB}"/>
                </c:ext>
              </c:extLst>
            </c:dLbl>
            <c:dLbl>
              <c:idx val="14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1-DC15-41A7-9501-0EA4F35537D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1" u="none" strike="noStrike" kern="1200" baseline="0">
                    <a:solidFill>
                      <a:schemeClr val="accent1"/>
                    </a:solidFill>
                    <a:latin typeface="+mj-lt"/>
                    <a:ea typeface="+mn-ea"/>
                    <a:cs typeface="+mn-cs"/>
                  </a:defRPr>
                </a:pPr>
                <a:endParaRPr lang="fr-F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Analyse!$B$7:$B$150</c:f>
              <c:numCache>
                <c:formatCode>yyyy</c:formatCode>
                <c:ptCount val="144"/>
                <c:pt idx="0">
                  <c:v>0</c:v>
                </c:pt>
              </c:numCache>
            </c:numRef>
          </c:cat>
          <c:val>
            <c:numRef>
              <c:f>Analyse!$T$7:$T$150</c:f>
              <c:numCache>
                <c:formatCode>General</c:formatCode>
                <c:ptCount val="144"/>
                <c:pt idx="0">
                  <c:v>#N/A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Analyse!$U$7:$U$150</c15:f>
                <c15:dlblRangeCache>
                  <c:ptCount val="144"/>
                  <c:pt idx="0">
                    <c:v>#REF!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122-DC15-41A7-9501-0EA4F35537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6881935"/>
        <c:axId val="386886255"/>
      </c:lineChart>
      <c:dateAx>
        <c:axId val="386856495"/>
        <c:scaling>
          <c:orientation val="minMax"/>
        </c:scaling>
        <c:delete val="0"/>
        <c:axPos val="b"/>
        <c:numFmt formatCode="yyyy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386870415"/>
        <c:crosses val="autoZero"/>
        <c:auto val="1"/>
        <c:lblOffset val="100"/>
        <c:baseTimeUnit val="years"/>
      </c:dateAx>
      <c:valAx>
        <c:axId val="386870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numFmt formatCode="#\ ##0&quot;M€&quot;" sourceLinked="0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386856495"/>
        <c:crosses val="autoZero"/>
        <c:crossBetween val="between"/>
        <c:dispUnits>
          <c:builtInUnit val="millions"/>
        </c:dispUnits>
      </c:valAx>
      <c:valAx>
        <c:axId val="386886255"/>
        <c:scaling>
          <c:orientation val="minMax"/>
          <c:max val="1"/>
          <c:min val="0"/>
        </c:scaling>
        <c:delete val="0"/>
        <c:axPos val="r"/>
        <c:numFmt formatCode="General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386881935"/>
        <c:crosses val="max"/>
        <c:crossBetween val="between"/>
      </c:valAx>
      <c:dateAx>
        <c:axId val="386881935"/>
        <c:scaling>
          <c:orientation val="minMax"/>
        </c:scaling>
        <c:delete val="0"/>
        <c:axPos val="t"/>
        <c:numFmt formatCode="yyyy" sourceLinked="1"/>
        <c:majorTickMark val="none"/>
        <c:minorTickMark val="none"/>
        <c:tickLblPos val="none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386886255"/>
        <c:crosses val="max"/>
        <c:auto val="1"/>
        <c:lblOffset val="100"/>
        <c:baseTimeUnit val="years"/>
      </c:dateAx>
    </c:plotArea>
    <c:plotVisOnly val="1"/>
    <c:dispBlanksAs val="gap"/>
    <c:showDLblsOverMax val="0"/>
  </c:chart>
  <c:txPr>
    <a:bodyPr/>
    <a:lstStyle/>
    <a:p>
      <a:pPr>
        <a:defRPr sz="1200">
          <a:latin typeface="Aptos" panose="020B0004020202020204" pitchFamily="34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Analyse!$W$6</c:f>
              <c:strCache>
                <c:ptCount val="1"/>
                <c:pt idx="0">
                  <c:v>Taux de marge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Analyse!$M$7:$M$150</c:f>
              <c:numCache>
                <c:formatCode>yyyy</c:formatCode>
                <c:ptCount val="144"/>
                <c:pt idx="0">
                  <c:v>0</c:v>
                </c:pt>
              </c:numCache>
            </c:numRef>
          </c:cat>
          <c:val>
            <c:numRef>
              <c:f>Analyse!$W$7:$W$150</c:f>
              <c:numCache>
                <c:formatCode>0%</c:formatCode>
                <c:ptCount val="144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A7-4A0B-9789-D48737D9FE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2121538784"/>
        <c:axId val="2121540224"/>
      </c:barChart>
      <c:dateAx>
        <c:axId val="2121538784"/>
        <c:scaling>
          <c:orientation val="minMax"/>
        </c:scaling>
        <c:delete val="0"/>
        <c:axPos val="b"/>
        <c:numFmt formatCode="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90000"/>
                    <a:lumOff val="10000"/>
                  </a:schemeClr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2121540224"/>
        <c:crosses val="autoZero"/>
        <c:auto val="1"/>
        <c:lblOffset val="100"/>
        <c:baseTimeUnit val="years"/>
      </c:dateAx>
      <c:valAx>
        <c:axId val="2121540224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10000"/>
                  <a:lumOff val="90000"/>
                </a:schemeClr>
              </a:solidFill>
              <a:prstDash val="dash"/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90000"/>
                    <a:lumOff val="10000"/>
                  </a:schemeClr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2121538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chemeClr val="tx1">
              <a:lumMod val="90000"/>
              <a:lumOff val="10000"/>
            </a:schemeClr>
          </a:solidFill>
          <a:latin typeface="Aptos Display" panose="020B0004020202020204" pitchFamily="34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8</xdr:col>
      <xdr:colOff>0</xdr:colOff>
      <xdr:row>7</xdr:row>
      <xdr:rowOff>42590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964386-F1D6-3CA6-1C3E-817B803D1E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13608</xdr:colOff>
      <xdr:row>6</xdr:row>
      <xdr:rowOff>97971</xdr:rowOff>
    </xdr:from>
    <xdr:to>
      <xdr:col>27</xdr:col>
      <xdr:colOff>295608</xdr:colOff>
      <xdr:row>10</xdr:row>
      <xdr:rowOff>162257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C69C6BA-014D-6AC1-9308-90DDB0C73D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482532</xdr:colOff>
      <xdr:row>6</xdr:row>
      <xdr:rowOff>97971</xdr:rowOff>
    </xdr:from>
    <xdr:to>
      <xdr:col>29</xdr:col>
      <xdr:colOff>2532</xdr:colOff>
      <xdr:row>10</xdr:row>
      <xdr:rowOff>162257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427DC35-21A6-C69D-EDF8-98CD0D3A04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20</xdr:row>
      <xdr:rowOff>0</xdr:rowOff>
    </xdr:from>
    <xdr:to>
      <xdr:col>12</xdr:col>
      <xdr:colOff>487708</xdr:colOff>
      <xdr:row>32</xdr:row>
      <xdr:rowOff>81613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E966595-C73A-E42F-5214-EDAFF36FEB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0</xdr:colOff>
      <xdr:row>20</xdr:row>
      <xdr:rowOff>0</xdr:rowOff>
    </xdr:from>
    <xdr:to>
      <xdr:col>16</xdr:col>
      <xdr:colOff>1036796</xdr:colOff>
      <xdr:row>32</xdr:row>
      <xdr:rowOff>82016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186CF501-686A-436A-B70E-871FC91A8D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21</xdr:row>
      <xdr:rowOff>0</xdr:rowOff>
    </xdr:from>
    <xdr:to>
      <xdr:col>20</xdr:col>
      <xdr:colOff>197023</xdr:colOff>
      <xdr:row>30</xdr:row>
      <xdr:rowOff>199130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1D546CF5-0D6F-4D39-EA6C-54839C9647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9E1CCFD-C29F-4239-8558-4F70F8B05FAD}" name="Performance" displayName="Performance" ref="A1:W2" totalsRowShown="0">
  <autoFilter ref="A1:W2" xr:uid="{79E1CCFD-C29F-4239-8558-4F70F8B05FAD}"/>
  <tableColumns count="23">
    <tableColumn id="1" xr3:uid="{D9C00F17-D0B9-47E9-BDD3-4D9C5C0FDED0}" name="siren"/>
    <tableColumn id="2" xr3:uid="{72D0A89F-A76F-4AC4-9D3A-4CD3F1A55A5C}" name="date_cloture_exercice" dataDxfId="27"/>
    <tableColumn id="3" xr3:uid="{3EFD615F-AA2D-459F-B4C7-CFFC22318CC1}" name="Chiffre_d_affaires"/>
    <tableColumn id="4" xr3:uid="{80D73410-97C6-4D40-9128-262383E6524C}" name="Marge_brute"/>
    <tableColumn id="5" xr3:uid="{BAD7E762-9FF1-435B-A3F1-352C048EA546}" name="EBE"/>
    <tableColumn id="6" xr3:uid="{3AF3575F-1844-41FF-902F-8EAB8DDD5AD6}" name="EBIT"/>
    <tableColumn id="7" xr3:uid="{C1B7C2D3-EE50-4B20-83E8-6C6C35F45488}" name="Resultat_net"/>
    <tableColumn id="8" xr3:uid="{1537CC23-C56D-4EB0-B2A3-95305DB00ACE}" name="Taux_d_endettement" dataDxfId="26"/>
    <tableColumn id="9" xr3:uid="{536AB2AA-44A8-4F01-8C02-46AFBC6DCAA0}" name="Ratio_de_liquidite" dataDxfId="25"/>
    <tableColumn id="10" xr3:uid="{FBB19A9A-781C-4896-8A9D-2E1318B24C2B}" name="Ratio_de_vetuste" dataDxfId="24"/>
    <tableColumn id="11" xr3:uid="{B24A4AA8-9886-4D06-B600-7EC30685FA70}" name="Autonomie_financiere" dataDxfId="23"/>
    <tableColumn id="12" xr3:uid="{3DB745D5-0419-424E-91C4-B9924D399823}" name="Poids_BFR_exploitation_sur_CA" dataDxfId="22"/>
    <tableColumn id="13" xr3:uid="{53244D27-3DA2-40CA-8077-20C618624F8D}" name="Couverture_des_interets" dataDxfId="21"/>
    <tableColumn id="14" xr3:uid="{AB0C9F90-5099-48B9-8487-E86268E4FC91}" name="CAF_sur_CA" dataDxfId="20"/>
    <tableColumn id="15" xr3:uid="{376D6488-15D4-4F0E-8B09-3E8988FBC4CF}" name="Capacite_de_remboursement" dataDxfId="19"/>
    <tableColumn id="16" xr3:uid="{D16DFA2E-40D3-4F97-8394-8C21A8C82489}" name="Marge_EBE" dataDxfId="18"/>
    <tableColumn id="17" xr3:uid="{B1B27CBE-8F94-4970-B010-0C617FFCFEBD}" name="Resultat_courant_avant_impots_sur_CA" dataDxfId="17"/>
    <tableColumn id="18" xr3:uid="{A7078D23-5164-48BC-A4A8-CFC46C4EAB2D}" name="Poids_BFR_exploitation_sur_CA_jours" dataDxfId="16"/>
    <tableColumn id="19" xr3:uid="{A23C5DCA-B7DD-4EF2-9126-AED71042D7EC}" name="Rotation_des_stocks_jours" dataDxfId="15"/>
    <tableColumn id="20" xr3:uid="{367BA43D-2822-4E6B-84EA-9C8D94FFB913}" name="Credit_clients_Jours" dataDxfId="14"/>
    <tableColumn id="21" xr3:uid="{67FEC185-0EAF-4CAF-A9E3-D005531B61AC}" name="Credit_fournisseurs_Jours" dataDxfId="13"/>
    <tableColumn id="22" xr3:uid="{AF3E4C10-4D82-4995-9FFA-7E2CE8CB46A2}" name="type_bilan" dataDxfId="12"/>
    <tableColumn id="23" xr3:uid="{465A446E-7698-4C88-BB95-D9C31EA7A990}" name="confidentiality" dataDxfId="1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89BB5DB-241A-4587-9795-A53E1DD1BE55}" name="Balises" displayName="Balises" ref="C4:E19" totalsRowShown="0" headerRowDxfId="10" dataDxfId="9">
  <autoFilter ref="C4:E19" xr:uid="{C89BB5DB-241A-4587-9795-A53E1DD1BE55}"/>
  <tableColumns count="3">
    <tableColumn id="1" xr3:uid="{6099FD98-ACB2-4E73-9A6A-2452073B93B5}" name="Balise" dataDxfId="8"/>
    <tableColumn id="2" xr3:uid="{10252979-8556-4423-8536-262E39599310}" name="Desc" dataDxfId="7"/>
    <tableColumn id="3" xr3:uid="{38A59B37-8EA6-4A08-B339-21991882C32F}" name="Valeur" dataDxfId="6">
      <calculatedColumnFormula>s_produit</calculatedColumnFormula>
    </tableColumn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D6EACE5-26DB-4F7F-9487-26DB7B53498F}" name="Loop" displayName="Loop" ref="B5:E6" totalsRowShown="0" headerRowDxfId="5" tableBorderDxfId="4">
  <autoFilter ref="B5:E6" xr:uid="{9D6EACE5-26DB-4F7F-9487-26DB7B53498F}"/>
  <tableColumns count="4">
    <tableColumn id="1" xr3:uid="{57A92AE8-0D79-4270-A771-98B4928EEDE3}" name="ID" dataDxfId="3"/>
    <tableColumn id="2" xr3:uid="{0153B2F4-CF5A-40D7-B52A-8736C7DFED4F}" name="Itération" dataDxfId="2"/>
    <tableColumn id="3" xr3:uid="{C2F670A5-B30E-4FDD-A0FC-6BAE9E92844D}" name="Nombre de tests" dataDxfId="1"/>
    <tableColumn id="4" xr3:uid="{5E26AB54-DDBA-4A1A-B5B5-6BF98CC52480}" name="Résultat" dataDxfId="0">
      <calculatedColumnFormula array="1">INDEX(Listes!$C$11:$C$676,Loop[[#This Row],[Itération]])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SAMMPO 02">
      <a:dk1>
        <a:srgbClr val="1B1C1F"/>
      </a:dk1>
      <a:lt1>
        <a:sysClr val="window" lastClr="FFFFFF"/>
      </a:lt1>
      <a:dk2>
        <a:srgbClr val="20307E"/>
      </a:dk2>
      <a:lt2>
        <a:srgbClr val="F8F8FA"/>
      </a:lt2>
      <a:accent1>
        <a:srgbClr val="D6283D"/>
      </a:accent1>
      <a:accent2>
        <a:srgbClr val="457B9D"/>
      </a:accent2>
      <a:accent3>
        <a:srgbClr val="3D3D3D"/>
      </a:accent3>
      <a:accent4>
        <a:srgbClr val="2FB3B0"/>
      </a:accent4>
      <a:accent5>
        <a:srgbClr val="4A5198"/>
      </a:accent5>
      <a:accent6>
        <a:srgbClr val="70AD47"/>
      </a:accent6>
      <a:hlink>
        <a:srgbClr val="954F72"/>
      </a:hlink>
      <a:folHlink>
        <a:srgbClr val="AEABAB"/>
      </a:folHlink>
    </a:clrScheme>
    <a:fontScheme name="Lato">
      <a:majorFont>
        <a:latin typeface="Lato"/>
        <a:ea typeface=""/>
        <a:cs typeface=""/>
      </a:majorFont>
      <a:minorFont>
        <a:latin typeface="Lato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ECCD9-0032-4D41-AFC8-CB12B76248BA}">
  <sheetPr>
    <tabColor theme="0"/>
  </sheetPr>
  <dimension ref="A1"/>
  <sheetViews>
    <sheetView showGridLines="0" workbookViewId="0">
      <selection activeCell="B1" sqref="B1"/>
    </sheetView>
  </sheetViews>
  <sheetFormatPr defaultRowHeight="18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61E35-3C9A-4571-868D-430D15168DE6}">
  <dimension ref="A1:W2"/>
  <sheetViews>
    <sheetView tabSelected="1" workbookViewId="0"/>
  </sheetViews>
  <sheetFormatPr defaultRowHeight="18" x14ac:dyDescent="0.35"/>
  <cols>
    <col min="1" max="1" width="10" bestFit="1" customWidth="1"/>
    <col min="2" max="2" width="19.5546875" bestFit="1" customWidth="1"/>
    <col min="3" max="3" width="16.21875" bestFit="1" customWidth="1"/>
    <col min="4" max="4" width="12.5546875" bestFit="1" customWidth="1"/>
    <col min="5" max="5" width="11.6640625" bestFit="1" customWidth="1"/>
    <col min="6" max="6" width="11" bestFit="1" customWidth="1"/>
    <col min="7" max="7" width="12.33203125" bestFit="1" customWidth="1"/>
    <col min="8" max="8" width="19" bestFit="1" customWidth="1"/>
    <col min="9" max="9" width="16.6640625" bestFit="1" customWidth="1"/>
    <col min="10" max="10" width="16.109375" bestFit="1" customWidth="1"/>
    <col min="11" max="11" width="19.44140625" bestFit="1" customWidth="1"/>
    <col min="12" max="12" width="27.44140625" bestFit="1" customWidth="1"/>
    <col min="13" max="13" width="21.6640625" bestFit="1" customWidth="1"/>
    <col min="14" max="14" width="13.109375" bestFit="1" customWidth="1"/>
    <col min="15" max="15" width="25.33203125" bestFit="1" customWidth="1"/>
    <col min="16" max="16" width="13.109375" bestFit="1" customWidth="1"/>
    <col min="17" max="17" width="33.44140625" bestFit="1" customWidth="1"/>
    <col min="18" max="18" width="32.109375" bestFit="1" customWidth="1"/>
    <col min="19" max="19" width="23.44140625" bestFit="1" customWidth="1"/>
    <col min="20" max="20" width="18.109375" bestFit="1" customWidth="1"/>
    <col min="21" max="21" width="22.5546875" bestFit="1" customWidth="1"/>
    <col min="22" max="22" width="10.6640625" bestFit="1" customWidth="1"/>
    <col min="23" max="23" width="28" bestFit="1" customWidth="1"/>
  </cols>
  <sheetData>
    <row r="1" spans="1:23" x14ac:dyDescent="0.35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  <c r="N1" t="s">
        <v>32</v>
      </c>
      <c r="O1" t="s">
        <v>33</v>
      </c>
      <c r="P1" t="s">
        <v>34</v>
      </c>
      <c r="Q1" t="s">
        <v>35</v>
      </c>
      <c r="R1" t="s">
        <v>36</v>
      </c>
      <c r="S1" t="s">
        <v>37</v>
      </c>
      <c r="T1" t="s">
        <v>38</v>
      </c>
      <c r="U1" t="s">
        <v>39</v>
      </c>
      <c r="V1" t="s">
        <v>40</v>
      </c>
      <c r="W1" t="s">
        <v>41</v>
      </c>
    </row>
    <row r="2" spans="1:23" x14ac:dyDescent="0.35">
      <c r="A2">
        <v>476480330</v>
      </c>
      <c r="B2" s="19">
        <v>44196</v>
      </c>
      <c r="C2">
        <v>64657526</v>
      </c>
      <c r="D2" s="19">
        <v>34888091</v>
      </c>
      <c r="E2">
        <v>-6041459</v>
      </c>
      <c r="F2" s="38">
        <v>-4020920</v>
      </c>
      <c r="G2" s="38">
        <v>-2924242</v>
      </c>
      <c r="H2" s="38">
        <v>-1553049</v>
      </c>
      <c r="I2" s="38">
        <v>48635</v>
      </c>
      <c r="J2" s="38" t="s">
        <v>129</v>
      </c>
      <c r="K2" s="38">
        <v>-1111</v>
      </c>
      <c r="L2" s="38">
        <v>-14596</v>
      </c>
      <c r="M2" s="38">
        <v>-8323</v>
      </c>
      <c r="N2" s="38">
        <v>-12127</v>
      </c>
      <c r="O2" s="38" t="s">
        <v>130</v>
      </c>
      <c r="P2" s="38">
        <v>-9344</v>
      </c>
      <c r="Q2" s="38">
        <v>-6982</v>
      </c>
      <c r="R2" s="38">
        <v>-52544</v>
      </c>
      <c r="S2" s="38">
        <v>25959</v>
      </c>
      <c r="T2" s="38">
        <v>42758</v>
      </c>
      <c r="U2" s="38">
        <v>77587</v>
      </c>
      <c r="V2" t="s">
        <v>10</v>
      </c>
      <c r="W2" t="s">
        <v>42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5BE71-925A-43DF-85E3-C0072652B3A6}">
  <sheetPr>
    <tabColor theme="0"/>
  </sheetPr>
  <dimension ref="A1"/>
  <sheetViews>
    <sheetView showGridLines="0" workbookViewId="0">
      <selection activeCell="H23" sqref="H23"/>
    </sheetView>
  </sheetViews>
  <sheetFormatPr defaultRowHeight="18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CDCF9-AA6A-4E86-A7EF-0CE19ACF69F9}">
  <sheetPr>
    <tabColor theme="1" tint="0.749992370372631"/>
  </sheetPr>
  <dimension ref="A8:H676"/>
  <sheetViews>
    <sheetView showGridLines="0" zoomScale="94" workbookViewId="0">
      <selection activeCell="B11" sqref="B11"/>
    </sheetView>
  </sheetViews>
  <sheetFormatPr defaultRowHeight="18" x14ac:dyDescent="0.35"/>
  <cols>
    <col min="2" max="2" width="15.88671875" customWidth="1"/>
    <col min="3" max="3" width="29.5546875" bestFit="1" customWidth="1"/>
    <col min="4" max="6" width="29.5546875" customWidth="1"/>
    <col min="7" max="7" width="11" bestFit="1" customWidth="1"/>
    <col min="8" max="8" width="13.5546875" bestFit="1" customWidth="1"/>
  </cols>
  <sheetData>
    <row r="8" spans="1:8" x14ac:dyDescent="0.35">
      <c r="B8" s="13"/>
      <c r="C8" s="13"/>
      <c r="D8" s="13"/>
      <c r="E8" s="13"/>
      <c r="H8" s="6"/>
    </row>
    <row r="10" spans="1:8" x14ac:dyDescent="0.35">
      <c r="B10" s="39" t="s">
        <v>18</v>
      </c>
      <c r="C10" s="40" t="s">
        <v>11</v>
      </c>
      <c r="D10" s="41" t="s">
        <v>125</v>
      </c>
      <c r="E10" s="42" t="s">
        <v>126</v>
      </c>
      <c r="F10" t="s">
        <v>64</v>
      </c>
      <c r="H10" s="8" t="s">
        <v>44</v>
      </c>
    </row>
    <row r="11" spans="1:8" x14ac:dyDescent="0.35">
      <c r="A11" cm="1">
        <f t="array" ref="A11">_xlfn.SEQUENCE(COUNTA(_xlfn.UNIQUE(Performance[siren])))</f>
        <v>1</v>
      </c>
      <c r="B11" s="43" cm="1">
        <f t="array" ref="B11">_xlfn.UNIQUE(Performance[siren])</f>
        <v>476480330</v>
      </c>
      <c r="C11" s="44" t="e" cm="1">
        <f t="array" ref="C11">INDEX(#REF!,MATCH(_xlfn.ANCHORARRAY($B$11),Performance[siren],0))</f>
        <v>#REF!</v>
      </c>
      <c r="D11" s="44" t="e" cm="1">
        <f t="array" ref="D11">INDEX(#REF!,MATCH(_xlfn.ANCHORARRAY($B$11),Performance[siren],0))</f>
        <v>#REF!</v>
      </c>
      <c r="E11" s="44" t="e" cm="1">
        <f t="array" ref="E11">INDEX(#REF!,MATCH(_xlfn.ANCHORARRAY($B$11),Performance[siren],0))</f>
        <v>#REF!</v>
      </c>
      <c r="F11" cm="1">
        <f t="array" ref="F11:F676">SUMIFS(Performance[Chiffre_d_affaires],Performance[siren],Listes!$B$11:$B$676)</f>
        <v>64657526</v>
      </c>
      <c r="H11" s="21" t="e" cm="1">
        <f t="array" ref="H11">_xlfn.SORTBY(_xlfn._xlws.FILTER(Performance[date_cloture_exercice],#REF!=Entreprise),_xlfn._xlws.FILTER(Performance[date_cloture_exercice],#REF!=Entreprise),1)</f>
        <v>#REF!</v>
      </c>
    </row>
    <row r="12" spans="1:8" x14ac:dyDescent="0.35">
      <c r="B12" s="43"/>
      <c r="C12" s="44"/>
      <c r="D12" s="44"/>
      <c r="E12" s="45"/>
      <c r="F12">
        <v>0</v>
      </c>
      <c r="H12" s="21"/>
    </row>
    <row r="13" spans="1:8" x14ac:dyDescent="0.35">
      <c r="B13" s="43"/>
      <c r="C13" s="44"/>
      <c r="D13" s="44"/>
      <c r="E13" s="45"/>
      <c r="F13">
        <v>0</v>
      </c>
      <c r="H13" s="21"/>
    </row>
    <row r="14" spans="1:8" x14ac:dyDescent="0.35">
      <c r="B14" s="43"/>
      <c r="C14" s="44"/>
      <c r="D14" s="44"/>
      <c r="E14" s="45"/>
      <c r="F14">
        <v>0</v>
      </c>
      <c r="H14" s="21"/>
    </row>
    <row r="15" spans="1:8" x14ac:dyDescent="0.35">
      <c r="B15" s="43"/>
      <c r="C15" s="44"/>
      <c r="D15" s="44"/>
      <c r="E15" s="45"/>
      <c r="F15">
        <v>0</v>
      </c>
      <c r="H15" s="21"/>
    </row>
    <row r="16" spans="1:8" x14ac:dyDescent="0.35">
      <c r="B16" s="43"/>
      <c r="C16" s="44"/>
      <c r="D16" s="44"/>
      <c r="E16" s="45"/>
      <c r="F16">
        <v>0</v>
      </c>
      <c r="H16" s="21"/>
    </row>
    <row r="17" spans="2:8" x14ac:dyDescent="0.35">
      <c r="B17" s="43"/>
      <c r="C17" s="44"/>
      <c r="D17" s="44"/>
      <c r="E17" s="45"/>
      <c r="F17">
        <v>0</v>
      </c>
      <c r="H17" s="21"/>
    </row>
    <row r="18" spans="2:8" x14ac:dyDescent="0.35">
      <c r="B18" s="43"/>
      <c r="C18" s="44"/>
      <c r="D18" s="44"/>
      <c r="E18" s="45"/>
      <c r="F18">
        <v>0</v>
      </c>
      <c r="H18" s="21"/>
    </row>
    <row r="19" spans="2:8" x14ac:dyDescent="0.35">
      <c r="B19" s="43"/>
      <c r="C19" s="44"/>
      <c r="D19" s="44"/>
      <c r="E19" s="45"/>
      <c r="F19">
        <v>0</v>
      </c>
      <c r="H19" s="7"/>
    </row>
    <row r="20" spans="2:8" x14ac:dyDescent="0.35">
      <c r="B20" s="43"/>
      <c r="C20" s="44"/>
      <c r="D20" s="44"/>
      <c r="E20" s="45"/>
      <c r="F20">
        <v>0</v>
      </c>
      <c r="H20" s="7"/>
    </row>
    <row r="21" spans="2:8" x14ac:dyDescent="0.35">
      <c r="B21" s="43"/>
      <c r="C21" s="44"/>
      <c r="D21" s="44"/>
      <c r="E21" s="45"/>
      <c r="F21">
        <v>0</v>
      </c>
      <c r="H21" s="7"/>
    </row>
    <row r="22" spans="2:8" x14ac:dyDescent="0.35">
      <c r="B22" s="43"/>
      <c r="C22" s="44"/>
      <c r="D22" s="44"/>
      <c r="E22" s="45"/>
      <c r="F22">
        <v>0</v>
      </c>
      <c r="H22" s="7"/>
    </row>
    <row r="23" spans="2:8" x14ac:dyDescent="0.35">
      <c r="B23" s="43"/>
      <c r="C23" s="44"/>
      <c r="D23" s="44"/>
      <c r="E23" s="45"/>
      <c r="F23">
        <v>0</v>
      </c>
      <c r="H23" s="7"/>
    </row>
    <row r="24" spans="2:8" x14ac:dyDescent="0.35">
      <c r="B24" s="43"/>
      <c r="C24" s="44"/>
      <c r="D24" s="44"/>
      <c r="E24" s="45"/>
      <c r="F24">
        <v>0</v>
      </c>
      <c r="H24" s="7"/>
    </row>
    <row r="25" spans="2:8" x14ac:dyDescent="0.35">
      <c r="B25" s="43"/>
      <c r="C25" s="44"/>
      <c r="D25" s="44"/>
      <c r="E25" s="45"/>
      <c r="F25">
        <v>0</v>
      </c>
      <c r="H25" s="7"/>
    </row>
    <row r="26" spans="2:8" x14ac:dyDescent="0.35">
      <c r="B26" s="43"/>
      <c r="C26" s="44"/>
      <c r="D26" s="44"/>
      <c r="E26" s="45"/>
      <c r="F26">
        <v>0</v>
      </c>
      <c r="H26" s="7"/>
    </row>
    <row r="27" spans="2:8" x14ac:dyDescent="0.35">
      <c r="B27" s="43"/>
      <c r="C27" s="44"/>
      <c r="D27" s="44"/>
      <c r="E27" s="45"/>
      <c r="F27">
        <v>0</v>
      </c>
      <c r="H27" s="7"/>
    </row>
    <row r="28" spans="2:8" x14ac:dyDescent="0.35">
      <c r="B28" s="43"/>
      <c r="C28" s="44"/>
      <c r="D28" s="44"/>
      <c r="E28" s="45"/>
      <c r="F28">
        <v>0</v>
      </c>
      <c r="H28" s="7"/>
    </row>
    <row r="29" spans="2:8" x14ac:dyDescent="0.35">
      <c r="B29" s="43"/>
      <c r="C29" s="44"/>
      <c r="D29" s="44"/>
      <c r="E29" s="45"/>
      <c r="F29">
        <v>0</v>
      </c>
      <c r="H29" s="7"/>
    </row>
    <row r="30" spans="2:8" x14ac:dyDescent="0.35">
      <c r="B30" s="43"/>
      <c r="C30" s="44"/>
      <c r="D30" s="44"/>
      <c r="E30" s="45"/>
      <c r="F30">
        <v>0</v>
      </c>
      <c r="H30" s="7"/>
    </row>
    <row r="31" spans="2:8" x14ac:dyDescent="0.35">
      <c r="B31" s="43"/>
      <c r="C31" s="44"/>
      <c r="D31" s="44"/>
      <c r="E31" s="45"/>
      <c r="F31">
        <v>0</v>
      </c>
      <c r="H31" s="7"/>
    </row>
    <row r="32" spans="2:8" x14ac:dyDescent="0.35">
      <c r="B32" s="43"/>
      <c r="C32" s="44"/>
      <c r="D32" s="44"/>
      <c r="E32" s="45"/>
      <c r="F32">
        <v>0</v>
      </c>
      <c r="H32" s="7"/>
    </row>
    <row r="33" spans="2:8" x14ac:dyDescent="0.35">
      <c r="B33" s="43"/>
      <c r="C33" s="44"/>
      <c r="D33" s="44"/>
      <c r="E33" s="45"/>
      <c r="F33">
        <v>0</v>
      </c>
      <c r="H33" s="7"/>
    </row>
    <row r="34" spans="2:8" x14ac:dyDescent="0.35">
      <c r="B34" s="43"/>
      <c r="C34" s="44"/>
      <c r="D34" s="44"/>
      <c r="E34" s="45"/>
      <c r="F34">
        <v>0</v>
      </c>
      <c r="H34" s="7"/>
    </row>
    <row r="35" spans="2:8" x14ac:dyDescent="0.35">
      <c r="B35" s="43"/>
      <c r="C35" s="44"/>
      <c r="D35" s="44"/>
      <c r="E35" s="45"/>
      <c r="F35">
        <v>0</v>
      </c>
      <c r="H35" s="7"/>
    </row>
    <row r="36" spans="2:8" x14ac:dyDescent="0.35">
      <c r="B36" s="43"/>
      <c r="C36" s="44"/>
      <c r="D36" s="44"/>
      <c r="E36" s="45"/>
      <c r="F36">
        <v>0</v>
      </c>
      <c r="H36" s="7"/>
    </row>
    <row r="37" spans="2:8" x14ac:dyDescent="0.35">
      <c r="B37" s="43"/>
      <c r="C37" s="44"/>
      <c r="D37" s="44"/>
      <c r="E37" s="45"/>
      <c r="F37">
        <v>0</v>
      </c>
      <c r="H37" s="7"/>
    </row>
    <row r="38" spans="2:8" x14ac:dyDescent="0.35">
      <c r="B38" s="43"/>
      <c r="C38" s="44"/>
      <c r="D38" s="44"/>
      <c r="E38" s="45"/>
      <c r="F38">
        <v>0</v>
      </c>
      <c r="H38" s="7"/>
    </row>
    <row r="39" spans="2:8" x14ac:dyDescent="0.35">
      <c r="B39" s="43"/>
      <c r="C39" s="44"/>
      <c r="D39" s="44"/>
      <c r="E39" s="45"/>
      <c r="F39">
        <v>0</v>
      </c>
      <c r="H39" s="7"/>
    </row>
    <row r="40" spans="2:8" x14ac:dyDescent="0.35">
      <c r="B40" s="43"/>
      <c r="C40" s="44"/>
      <c r="D40" s="44"/>
      <c r="E40" s="45"/>
      <c r="F40">
        <v>0</v>
      </c>
      <c r="H40" s="7"/>
    </row>
    <row r="41" spans="2:8" x14ac:dyDescent="0.35">
      <c r="B41" s="43"/>
      <c r="C41" s="44"/>
      <c r="D41" s="44"/>
      <c r="E41" s="45"/>
      <c r="F41">
        <v>0</v>
      </c>
      <c r="H41" s="7"/>
    </row>
    <row r="42" spans="2:8" x14ac:dyDescent="0.35">
      <c r="B42" s="43"/>
      <c r="C42" s="44"/>
      <c r="D42" s="44"/>
      <c r="E42" s="45"/>
      <c r="F42">
        <v>0</v>
      </c>
      <c r="H42" s="7"/>
    </row>
    <row r="43" spans="2:8" x14ac:dyDescent="0.35">
      <c r="B43" s="43"/>
      <c r="C43" s="44"/>
      <c r="D43" s="44"/>
      <c r="E43" s="45"/>
      <c r="F43">
        <v>0</v>
      </c>
      <c r="H43" s="7"/>
    </row>
    <row r="44" spans="2:8" x14ac:dyDescent="0.35">
      <c r="B44" s="43"/>
      <c r="C44" s="44"/>
      <c r="D44" s="44"/>
      <c r="E44" s="45"/>
      <c r="F44">
        <v>0</v>
      </c>
      <c r="H44" s="7"/>
    </row>
    <row r="45" spans="2:8" x14ac:dyDescent="0.35">
      <c r="B45" s="43"/>
      <c r="C45" s="44"/>
      <c r="D45" s="44"/>
      <c r="E45" s="45"/>
      <c r="F45">
        <v>0</v>
      </c>
      <c r="H45" s="7"/>
    </row>
    <row r="46" spans="2:8" x14ac:dyDescent="0.35">
      <c r="B46" s="43"/>
      <c r="C46" s="44"/>
      <c r="D46" s="44"/>
      <c r="E46" s="45"/>
      <c r="F46">
        <v>0</v>
      </c>
      <c r="H46" s="7"/>
    </row>
    <row r="47" spans="2:8" x14ac:dyDescent="0.35">
      <c r="B47" s="43"/>
      <c r="C47" s="44"/>
      <c r="D47" s="44"/>
      <c r="E47" s="45"/>
      <c r="F47">
        <v>0</v>
      </c>
      <c r="H47" s="7"/>
    </row>
    <row r="48" spans="2:8" x14ac:dyDescent="0.35">
      <c r="B48" s="43"/>
      <c r="C48" s="44"/>
      <c r="D48" s="44"/>
      <c r="E48" s="45"/>
      <c r="F48">
        <v>0</v>
      </c>
      <c r="H48" s="7"/>
    </row>
    <row r="49" spans="2:8" x14ac:dyDescent="0.35">
      <c r="B49" s="43"/>
      <c r="C49" s="44"/>
      <c r="D49" s="44"/>
      <c r="E49" s="45"/>
      <c r="F49">
        <v>0</v>
      </c>
      <c r="H49" s="7"/>
    </row>
    <row r="50" spans="2:8" x14ac:dyDescent="0.35">
      <c r="B50" s="43"/>
      <c r="C50" s="44"/>
      <c r="D50" s="44"/>
      <c r="E50" s="45"/>
      <c r="F50">
        <v>0</v>
      </c>
      <c r="H50" s="7"/>
    </row>
    <row r="51" spans="2:8" x14ac:dyDescent="0.35">
      <c r="B51" s="43"/>
      <c r="C51" s="44"/>
      <c r="D51" s="44"/>
      <c r="E51" s="45"/>
      <c r="F51">
        <v>0</v>
      </c>
      <c r="H51" s="7"/>
    </row>
    <row r="52" spans="2:8" x14ac:dyDescent="0.35">
      <c r="B52" s="43"/>
      <c r="C52" s="44"/>
      <c r="D52" s="44"/>
      <c r="E52" s="45"/>
      <c r="F52">
        <v>0</v>
      </c>
      <c r="H52" s="7"/>
    </row>
    <row r="53" spans="2:8" x14ac:dyDescent="0.35">
      <c r="B53" s="43"/>
      <c r="C53" s="44"/>
      <c r="D53" s="44"/>
      <c r="E53" s="45"/>
      <c r="F53">
        <v>0</v>
      </c>
      <c r="H53" s="7"/>
    </row>
    <row r="54" spans="2:8" x14ac:dyDescent="0.35">
      <c r="B54" s="43"/>
      <c r="C54" s="44"/>
      <c r="D54" s="44"/>
      <c r="E54" s="45"/>
      <c r="F54">
        <v>0</v>
      </c>
      <c r="H54" s="7"/>
    </row>
    <row r="55" spans="2:8" x14ac:dyDescent="0.35">
      <c r="B55" s="43"/>
      <c r="C55" s="44"/>
      <c r="D55" s="44"/>
      <c r="E55" s="45"/>
      <c r="F55">
        <v>0</v>
      </c>
      <c r="H55" s="7"/>
    </row>
    <row r="56" spans="2:8" x14ac:dyDescent="0.35">
      <c r="B56" s="43"/>
      <c r="C56" s="44"/>
      <c r="D56" s="44"/>
      <c r="E56" s="45"/>
      <c r="F56">
        <v>0</v>
      </c>
      <c r="H56" s="7"/>
    </row>
    <row r="57" spans="2:8" x14ac:dyDescent="0.35">
      <c r="B57" s="43"/>
      <c r="C57" s="44"/>
      <c r="D57" s="44"/>
      <c r="E57" s="45"/>
      <c r="F57">
        <v>0</v>
      </c>
      <c r="H57" s="7"/>
    </row>
    <row r="58" spans="2:8" x14ac:dyDescent="0.35">
      <c r="B58" s="43"/>
      <c r="C58" s="44"/>
      <c r="D58" s="44"/>
      <c r="E58" s="45"/>
      <c r="F58">
        <v>0</v>
      </c>
      <c r="H58" s="7"/>
    </row>
    <row r="59" spans="2:8" x14ac:dyDescent="0.35">
      <c r="B59" s="43"/>
      <c r="C59" s="44"/>
      <c r="D59" s="44"/>
      <c r="E59" s="45"/>
      <c r="F59">
        <v>0</v>
      </c>
      <c r="H59" s="7"/>
    </row>
    <row r="60" spans="2:8" x14ac:dyDescent="0.35">
      <c r="B60" s="43"/>
      <c r="C60" s="44"/>
      <c r="D60" s="44"/>
      <c r="E60" s="45"/>
      <c r="F60">
        <v>0</v>
      </c>
      <c r="H60" s="7"/>
    </row>
    <row r="61" spans="2:8" x14ac:dyDescent="0.35">
      <c r="B61" s="43"/>
      <c r="C61" s="44"/>
      <c r="D61" s="44"/>
      <c r="E61" s="45"/>
      <c r="F61">
        <v>0</v>
      </c>
    </row>
    <row r="62" spans="2:8" x14ac:dyDescent="0.35">
      <c r="B62" s="43"/>
      <c r="C62" s="44"/>
      <c r="D62" s="44"/>
      <c r="E62" s="45"/>
      <c r="F62">
        <v>0</v>
      </c>
    </row>
    <row r="63" spans="2:8" x14ac:dyDescent="0.35">
      <c r="B63" s="43"/>
      <c r="C63" s="44"/>
      <c r="D63" s="44"/>
      <c r="E63" s="45"/>
      <c r="F63">
        <v>0</v>
      </c>
    </row>
    <row r="64" spans="2:8" x14ac:dyDescent="0.35">
      <c r="B64" s="43"/>
      <c r="C64" s="44"/>
      <c r="D64" s="44"/>
      <c r="E64" s="45"/>
      <c r="F64">
        <v>0</v>
      </c>
    </row>
    <row r="65" spans="2:6" x14ac:dyDescent="0.35">
      <c r="B65" s="43"/>
      <c r="C65" s="44"/>
      <c r="D65" s="44"/>
      <c r="E65" s="45"/>
      <c r="F65">
        <v>0</v>
      </c>
    </row>
    <row r="66" spans="2:6" x14ac:dyDescent="0.35">
      <c r="B66" s="43"/>
      <c r="C66" s="44"/>
      <c r="D66" s="44"/>
      <c r="E66" s="45"/>
      <c r="F66">
        <v>0</v>
      </c>
    </row>
    <row r="67" spans="2:6" x14ac:dyDescent="0.35">
      <c r="B67" s="43"/>
      <c r="C67" s="44"/>
      <c r="D67" s="44"/>
      <c r="E67" s="45"/>
      <c r="F67">
        <v>0</v>
      </c>
    </row>
    <row r="68" spans="2:6" x14ac:dyDescent="0.35">
      <c r="B68" s="43"/>
      <c r="C68" s="44"/>
      <c r="D68" s="44"/>
      <c r="E68" s="45"/>
      <c r="F68">
        <v>0</v>
      </c>
    </row>
    <row r="69" spans="2:6" x14ac:dyDescent="0.35">
      <c r="B69" s="43"/>
      <c r="C69" s="44"/>
      <c r="D69" s="44"/>
      <c r="E69" s="45"/>
      <c r="F69">
        <v>0</v>
      </c>
    </row>
    <row r="70" spans="2:6" x14ac:dyDescent="0.35">
      <c r="B70" s="43"/>
      <c r="C70" s="44"/>
      <c r="D70" s="44"/>
      <c r="E70" s="45"/>
      <c r="F70">
        <v>0</v>
      </c>
    </row>
    <row r="71" spans="2:6" x14ac:dyDescent="0.35">
      <c r="B71" s="43"/>
      <c r="C71" s="44"/>
      <c r="D71" s="44"/>
      <c r="E71" s="45"/>
      <c r="F71">
        <v>0</v>
      </c>
    </row>
    <row r="72" spans="2:6" x14ac:dyDescent="0.35">
      <c r="B72" s="43"/>
      <c r="C72" s="44"/>
      <c r="D72" s="44"/>
      <c r="E72" s="45"/>
      <c r="F72">
        <v>0</v>
      </c>
    </row>
    <row r="73" spans="2:6" x14ac:dyDescent="0.35">
      <c r="B73" s="43"/>
      <c r="C73" s="44"/>
      <c r="D73" s="44"/>
      <c r="E73" s="45"/>
      <c r="F73">
        <v>0</v>
      </c>
    </row>
    <row r="74" spans="2:6" x14ac:dyDescent="0.35">
      <c r="B74" s="43"/>
      <c r="C74" s="44"/>
      <c r="D74" s="44"/>
      <c r="E74" s="45"/>
      <c r="F74">
        <v>0</v>
      </c>
    </row>
    <row r="75" spans="2:6" x14ac:dyDescent="0.35">
      <c r="B75" s="43"/>
      <c r="C75" s="44"/>
      <c r="D75" s="44"/>
      <c r="E75" s="45"/>
      <c r="F75">
        <v>0</v>
      </c>
    </row>
    <row r="76" spans="2:6" x14ac:dyDescent="0.35">
      <c r="B76" s="43"/>
      <c r="C76" s="44"/>
      <c r="D76" s="44"/>
      <c r="E76" s="45"/>
      <c r="F76">
        <v>0</v>
      </c>
    </row>
    <row r="77" spans="2:6" x14ac:dyDescent="0.35">
      <c r="B77" s="43"/>
      <c r="C77" s="44"/>
      <c r="D77" s="44"/>
      <c r="E77" s="45"/>
      <c r="F77">
        <v>0</v>
      </c>
    </row>
    <row r="78" spans="2:6" x14ac:dyDescent="0.35">
      <c r="B78" s="43"/>
      <c r="C78" s="44"/>
      <c r="D78" s="44"/>
      <c r="E78" s="45"/>
      <c r="F78">
        <v>0</v>
      </c>
    </row>
    <row r="79" spans="2:6" x14ac:dyDescent="0.35">
      <c r="B79" s="43"/>
      <c r="C79" s="44"/>
      <c r="D79" s="44"/>
      <c r="E79" s="45"/>
      <c r="F79">
        <v>0</v>
      </c>
    </row>
    <row r="80" spans="2:6" x14ac:dyDescent="0.35">
      <c r="B80" s="43"/>
      <c r="C80" s="44"/>
      <c r="D80" s="44"/>
      <c r="E80" s="45"/>
      <c r="F80">
        <v>0</v>
      </c>
    </row>
    <row r="81" spans="2:6" x14ac:dyDescent="0.35">
      <c r="B81" s="43"/>
      <c r="C81" s="44"/>
      <c r="D81" s="44"/>
      <c r="E81" s="45"/>
      <c r="F81">
        <v>0</v>
      </c>
    </row>
    <row r="82" spans="2:6" x14ac:dyDescent="0.35">
      <c r="B82" s="43"/>
      <c r="C82" s="44"/>
      <c r="D82" s="44"/>
      <c r="E82" s="45"/>
      <c r="F82">
        <v>0</v>
      </c>
    </row>
    <row r="83" spans="2:6" x14ac:dyDescent="0.35">
      <c r="B83" s="43"/>
      <c r="C83" s="44"/>
      <c r="D83" s="44"/>
      <c r="E83" s="45"/>
      <c r="F83">
        <v>0</v>
      </c>
    </row>
    <row r="84" spans="2:6" x14ac:dyDescent="0.35">
      <c r="B84" s="43"/>
      <c r="C84" s="44"/>
      <c r="D84" s="44"/>
      <c r="E84" s="45"/>
      <c r="F84">
        <v>0</v>
      </c>
    </row>
    <row r="85" spans="2:6" x14ac:dyDescent="0.35">
      <c r="B85" s="43"/>
      <c r="C85" s="44"/>
      <c r="D85" s="44"/>
      <c r="E85" s="45"/>
      <c r="F85">
        <v>0</v>
      </c>
    </row>
    <row r="86" spans="2:6" x14ac:dyDescent="0.35">
      <c r="B86" s="43"/>
      <c r="C86" s="44"/>
      <c r="D86" s="44"/>
      <c r="E86" s="45"/>
      <c r="F86">
        <v>0</v>
      </c>
    </row>
    <row r="87" spans="2:6" x14ac:dyDescent="0.35">
      <c r="B87" s="43"/>
      <c r="C87" s="44"/>
      <c r="D87" s="44"/>
      <c r="E87" s="45"/>
      <c r="F87">
        <v>0</v>
      </c>
    </row>
    <row r="88" spans="2:6" x14ac:dyDescent="0.35">
      <c r="B88" s="43"/>
      <c r="C88" s="44"/>
      <c r="D88" s="44"/>
      <c r="E88" s="45"/>
      <c r="F88">
        <v>0</v>
      </c>
    </row>
    <row r="89" spans="2:6" x14ac:dyDescent="0.35">
      <c r="B89" s="43"/>
      <c r="C89" s="44"/>
      <c r="D89" s="44"/>
      <c r="E89" s="45"/>
      <c r="F89">
        <v>0</v>
      </c>
    </row>
    <row r="90" spans="2:6" x14ac:dyDescent="0.35">
      <c r="B90" s="43"/>
      <c r="C90" s="44"/>
      <c r="D90" s="44"/>
      <c r="E90" s="45"/>
      <c r="F90">
        <v>0</v>
      </c>
    </row>
    <row r="91" spans="2:6" x14ac:dyDescent="0.35">
      <c r="B91" s="43"/>
      <c r="C91" s="44"/>
      <c r="D91" s="44"/>
      <c r="E91" s="45"/>
      <c r="F91">
        <v>0</v>
      </c>
    </row>
    <row r="92" spans="2:6" x14ac:dyDescent="0.35">
      <c r="B92" s="43"/>
      <c r="C92" s="44"/>
      <c r="D92" s="44"/>
      <c r="E92" s="45"/>
      <c r="F92">
        <v>0</v>
      </c>
    </row>
    <row r="93" spans="2:6" x14ac:dyDescent="0.35">
      <c r="B93" s="43"/>
      <c r="C93" s="44"/>
      <c r="D93" s="44"/>
      <c r="E93" s="45"/>
      <c r="F93">
        <v>0</v>
      </c>
    </row>
    <row r="94" spans="2:6" x14ac:dyDescent="0.35">
      <c r="B94" s="43"/>
      <c r="C94" s="44"/>
      <c r="D94" s="44"/>
      <c r="E94" s="45"/>
      <c r="F94">
        <v>0</v>
      </c>
    </row>
    <row r="95" spans="2:6" x14ac:dyDescent="0.35">
      <c r="B95" s="43"/>
      <c r="C95" s="44"/>
      <c r="D95" s="44"/>
      <c r="E95" s="45"/>
      <c r="F95">
        <v>0</v>
      </c>
    </row>
    <row r="96" spans="2:6" x14ac:dyDescent="0.35">
      <c r="B96" s="43"/>
      <c r="C96" s="44"/>
      <c r="D96" s="44"/>
      <c r="E96" s="45"/>
      <c r="F96">
        <v>0</v>
      </c>
    </row>
    <row r="97" spans="2:6" x14ac:dyDescent="0.35">
      <c r="B97" s="43"/>
      <c r="C97" s="44"/>
      <c r="D97" s="44"/>
      <c r="E97" s="45"/>
      <c r="F97">
        <v>0</v>
      </c>
    </row>
    <row r="98" spans="2:6" x14ac:dyDescent="0.35">
      <c r="B98" s="43"/>
      <c r="C98" s="44"/>
      <c r="D98" s="44"/>
      <c r="E98" s="45"/>
      <c r="F98">
        <v>0</v>
      </c>
    </row>
    <row r="99" spans="2:6" x14ac:dyDescent="0.35">
      <c r="B99" s="43"/>
      <c r="C99" s="44"/>
      <c r="D99" s="44"/>
      <c r="E99" s="45"/>
      <c r="F99">
        <v>0</v>
      </c>
    </row>
    <row r="100" spans="2:6" x14ac:dyDescent="0.35">
      <c r="B100" s="43"/>
      <c r="C100" s="44"/>
      <c r="D100" s="44"/>
      <c r="E100" s="45"/>
      <c r="F100">
        <v>0</v>
      </c>
    </row>
    <row r="101" spans="2:6" x14ac:dyDescent="0.35">
      <c r="B101" s="43"/>
      <c r="C101" s="44"/>
      <c r="D101" s="44"/>
      <c r="E101" s="45"/>
      <c r="F101">
        <v>0</v>
      </c>
    </row>
    <row r="102" spans="2:6" x14ac:dyDescent="0.35">
      <c r="B102" s="43"/>
      <c r="C102" s="44"/>
      <c r="D102" s="44"/>
      <c r="E102" s="45"/>
      <c r="F102">
        <v>0</v>
      </c>
    </row>
    <row r="103" spans="2:6" x14ac:dyDescent="0.35">
      <c r="B103" s="43"/>
      <c r="C103" s="44"/>
      <c r="D103" s="44"/>
      <c r="E103" s="45"/>
      <c r="F103">
        <v>0</v>
      </c>
    </row>
    <row r="104" spans="2:6" x14ac:dyDescent="0.35">
      <c r="B104" s="43"/>
      <c r="C104" s="44"/>
      <c r="D104" s="44"/>
      <c r="E104" s="45"/>
      <c r="F104">
        <v>0</v>
      </c>
    </row>
    <row r="105" spans="2:6" x14ac:dyDescent="0.35">
      <c r="B105" s="43"/>
      <c r="C105" s="44"/>
      <c r="D105" s="44"/>
      <c r="E105" s="45"/>
      <c r="F105">
        <v>0</v>
      </c>
    </row>
    <row r="106" spans="2:6" x14ac:dyDescent="0.35">
      <c r="B106" s="43"/>
      <c r="C106" s="44"/>
      <c r="D106" s="44"/>
      <c r="E106" s="45"/>
      <c r="F106">
        <v>0</v>
      </c>
    </row>
    <row r="107" spans="2:6" x14ac:dyDescent="0.35">
      <c r="B107" s="43"/>
      <c r="C107" s="44"/>
      <c r="D107" s="44"/>
      <c r="E107" s="45"/>
      <c r="F107">
        <v>0</v>
      </c>
    </row>
    <row r="108" spans="2:6" x14ac:dyDescent="0.35">
      <c r="B108" s="43"/>
      <c r="C108" s="44"/>
      <c r="D108" s="44"/>
      <c r="E108" s="45"/>
      <c r="F108">
        <v>0</v>
      </c>
    </row>
    <row r="109" spans="2:6" x14ac:dyDescent="0.35">
      <c r="B109" s="43"/>
      <c r="C109" s="44"/>
      <c r="D109" s="44"/>
      <c r="E109" s="45"/>
      <c r="F109">
        <v>0</v>
      </c>
    </row>
    <row r="110" spans="2:6" x14ac:dyDescent="0.35">
      <c r="B110" s="43"/>
      <c r="C110" s="44"/>
      <c r="D110" s="44"/>
      <c r="E110" s="45"/>
      <c r="F110">
        <v>0</v>
      </c>
    </row>
    <row r="111" spans="2:6" x14ac:dyDescent="0.35">
      <c r="B111" s="43"/>
      <c r="C111" s="44"/>
      <c r="D111" s="44"/>
      <c r="E111" s="45"/>
      <c r="F111">
        <v>0</v>
      </c>
    </row>
    <row r="112" spans="2:6" x14ac:dyDescent="0.35">
      <c r="B112" s="43"/>
      <c r="C112" s="44"/>
      <c r="D112" s="44"/>
      <c r="E112" s="45"/>
      <c r="F112">
        <v>0</v>
      </c>
    </row>
    <row r="113" spans="2:6" x14ac:dyDescent="0.35">
      <c r="B113" s="43"/>
      <c r="C113" s="44"/>
      <c r="D113" s="44"/>
      <c r="E113" s="45"/>
      <c r="F113">
        <v>0</v>
      </c>
    </row>
    <row r="114" spans="2:6" x14ac:dyDescent="0.35">
      <c r="B114" s="43"/>
      <c r="C114" s="44"/>
      <c r="D114" s="44"/>
      <c r="E114" s="45"/>
      <c r="F114">
        <v>0</v>
      </c>
    </row>
    <row r="115" spans="2:6" x14ac:dyDescent="0.35">
      <c r="B115" s="43"/>
      <c r="C115" s="44"/>
      <c r="D115" s="44"/>
      <c r="E115" s="45"/>
      <c r="F115">
        <v>0</v>
      </c>
    </row>
    <row r="116" spans="2:6" x14ac:dyDescent="0.35">
      <c r="B116" s="43"/>
      <c r="C116" s="44"/>
      <c r="D116" s="44"/>
      <c r="E116" s="45"/>
      <c r="F116">
        <v>0</v>
      </c>
    </row>
    <row r="117" spans="2:6" x14ac:dyDescent="0.35">
      <c r="B117" s="43"/>
      <c r="C117" s="44"/>
      <c r="D117" s="44"/>
      <c r="E117" s="45"/>
      <c r="F117">
        <v>0</v>
      </c>
    </row>
    <row r="118" spans="2:6" x14ac:dyDescent="0.35">
      <c r="B118" s="43"/>
      <c r="C118" s="44"/>
      <c r="D118" s="44"/>
      <c r="E118" s="45"/>
      <c r="F118">
        <v>0</v>
      </c>
    </row>
    <row r="119" spans="2:6" x14ac:dyDescent="0.35">
      <c r="B119" s="43"/>
      <c r="C119" s="44"/>
      <c r="D119" s="44"/>
      <c r="E119" s="45"/>
      <c r="F119">
        <v>0</v>
      </c>
    </row>
    <row r="120" spans="2:6" x14ac:dyDescent="0.35">
      <c r="B120" s="43"/>
      <c r="C120" s="44"/>
      <c r="D120" s="44"/>
      <c r="E120" s="45"/>
      <c r="F120">
        <v>0</v>
      </c>
    </row>
    <row r="121" spans="2:6" x14ac:dyDescent="0.35">
      <c r="B121" s="43"/>
      <c r="C121" s="44"/>
      <c r="D121" s="44"/>
      <c r="E121" s="45"/>
      <c r="F121">
        <v>0</v>
      </c>
    </row>
    <row r="122" spans="2:6" x14ac:dyDescent="0.35">
      <c r="B122" s="43"/>
      <c r="C122" s="44"/>
      <c r="D122" s="44"/>
      <c r="E122" s="45"/>
      <c r="F122">
        <v>0</v>
      </c>
    </row>
    <row r="123" spans="2:6" x14ac:dyDescent="0.35">
      <c r="B123" s="43"/>
      <c r="C123" s="44"/>
      <c r="D123" s="44"/>
      <c r="E123" s="45"/>
      <c r="F123">
        <v>0</v>
      </c>
    </row>
    <row r="124" spans="2:6" x14ac:dyDescent="0.35">
      <c r="B124" s="43"/>
      <c r="C124" s="44"/>
      <c r="D124" s="44"/>
      <c r="E124" s="45"/>
      <c r="F124">
        <v>0</v>
      </c>
    </row>
    <row r="125" spans="2:6" x14ac:dyDescent="0.35">
      <c r="B125" s="43"/>
      <c r="C125" s="44"/>
      <c r="D125" s="44"/>
      <c r="E125" s="45"/>
      <c r="F125">
        <v>0</v>
      </c>
    </row>
    <row r="126" spans="2:6" x14ac:dyDescent="0.35">
      <c r="B126" s="43"/>
      <c r="C126" s="44"/>
      <c r="D126" s="44"/>
      <c r="E126" s="45"/>
      <c r="F126">
        <v>0</v>
      </c>
    </row>
    <row r="127" spans="2:6" x14ac:dyDescent="0.35">
      <c r="B127" s="43"/>
      <c r="C127" s="44"/>
      <c r="D127" s="44"/>
      <c r="E127" s="45"/>
      <c r="F127">
        <v>0</v>
      </c>
    </row>
    <row r="128" spans="2:6" x14ac:dyDescent="0.35">
      <c r="B128" s="43"/>
      <c r="C128" s="44"/>
      <c r="D128" s="44"/>
      <c r="E128" s="45"/>
      <c r="F128">
        <v>0</v>
      </c>
    </row>
    <row r="129" spans="2:6" x14ac:dyDescent="0.35">
      <c r="B129" s="43"/>
      <c r="C129" s="44"/>
      <c r="D129" s="44"/>
      <c r="E129" s="45"/>
      <c r="F129">
        <v>0</v>
      </c>
    </row>
    <row r="130" spans="2:6" x14ac:dyDescent="0.35">
      <c r="B130" s="43"/>
      <c r="C130" s="44"/>
      <c r="D130" s="44"/>
      <c r="E130" s="45"/>
      <c r="F130">
        <v>0</v>
      </c>
    </row>
    <row r="131" spans="2:6" x14ac:dyDescent="0.35">
      <c r="B131" s="43"/>
      <c r="C131" s="44"/>
      <c r="D131" s="44"/>
      <c r="E131" s="45"/>
      <c r="F131">
        <v>0</v>
      </c>
    </row>
    <row r="132" spans="2:6" x14ac:dyDescent="0.35">
      <c r="B132" s="43"/>
      <c r="C132" s="44"/>
      <c r="D132" s="44"/>
      <c r="E132" s="45"/>
      <c r="F132">
        <v>0</v>
      </c>
    </row>
    <row r="133" spans="2:6" x14ac:dyDescent="0.35">
      <c r="B133" s="43"/>
      <c r="C133" s="44"/>
      <c r="D133" s="44"/>
      <c r="E133" s="45"/>
      <c r="F133">
        <v>0</v>
      </c>
    </row>
    <row r="134" spans="2:6" x14ac:dyDescent="0.35">
      <c r="B134" s="43"/>
      <c r="C134" s="44"/>
      <c r="D134" s="44"/>
      <c r="E134" s="45"/>
      <c r="F134">
        <v>0</v>
      </c>
    </row>
    <row r="135" spans="2:6" x14ac:dyDescent="0.35">
      <c r="B135" s="43"/>
      <c r="C135" s="44"/>
      <c r="D135" s="44"/>
      <c r="E135" s="45"/>
      <c r="F135">
        <v>0</v>
      </c>
    </row>
    <row r="136" spans="2:6" x14ac:dyDescent="0.35">
      <c r="B136" s="43"/>
      <c r="C136" s="44"/>
      <c r="D136" s="44"/>
      <c r="E136" s="45"/>
      <c r="F136">
        <v>0</v>
      </c>
    </row>
    <row r="137" spans="2:6" x14ac:dyDescent="0.35">
      <c r="B137" s="43"/>
      <c r="C137" s="44"/>
      <c r="D137" s="44"/>
      <c r="E137" s="45"/>
      <c r="F137">
        <v>0</v>
      </c>
    </row>
    <row r="138" spans="2:6" x14ac:dyDescent="0.35">
      <c r="B138" s="43"/>
      <c r="C138" s="44"/>
      <c r="D138" s="44"/>
      <c r="E138" s="45"/>
      <c r="F138">
        <v>0</v>
      </c>
    </row>
    <row r="139" spans="2:6" x14ac:dyDescent="0.35">
      <c r="B139" s="43"/>
      <c r="C139" s="44"/>
      <c r="D139" s="44"/>
      <c r="E139" s="45"/>
      <c r="F139">
        <v>0</v>
      </c>
    </row>
    <row r="140" spans="2:6" x14ac:dyDescent="0.35">
      <c r="B140" s="43"/>
      <c r="C140" s="44"/>
      <c r="D140" s="44"/>
      <c r="E140" s="45"/>
      <c r="F140">
        <v>0</v>
      </c>
    </row>
    <row r="141" spans="2:6" x14ac:dyDescent="0.35">
      <c r="B141" s="43"/>
      <c r="C141" s="44"/>
      <c r="D141" s="44"/>
      <c r="E141" s="45"/>
      <c r="F141">
        <v>0</v>
      </c>
    </row>
    <row r="142" spans="2:6" x14ac:dyDescent="0.35">
      <c r="B142" s="43"/>
      <c r="C142" s="44"/>
      <c r="D142" s="44"/>
      <c r="E142" s="45"/>
      <c r="F142">
        <v>0</v>
      </c>
    </row>
    <row r="143" spans="2:6" x14ac:dyDescent="0.35">
      <c r="B143" s="43"/>
      <c r="C143" s="44"/>
      <c r="D143" s="44"/>
      <c r="E143" s="45"/>
      <c r="F143">
        <v>0</v>
      </c>
    </row>
    <row r="144" spans="2:6" x14ac:dyDescent="0.35">
      <c r="B144" s="43"/>
      <c r="C144" s="44"/>
      <c r="D144" s="44"/>
      <c r="E144" s="45"/>
      <c r="F144">
        <v>0</v>
      </c>
    </row>
    <row r="145" spans="2:6" x14ac:dyDescent="0.35">
      <c r="B145" s="43"/>
      <c r="C145" s="44"/>
      <c r="D145" s="44"/>
      <c r="E145" s="45"/>
      <c r="F145">
        <v>0</v>
      </c>
    </row>
    <row r="146" spans="2:6" x14ac:dyDescent="0.35">
      <c r="B146" s="43"/>
      <c r="C146" s="44"/>
      <c r="D146" s="44"/>
      <c r="E146" s="45"/>
      <c r="F146">
        <v>0</v>
      </c>
    </row>
    <row r="147" spans="2:6" x14ac:dyDescent="0.35">
      <c r="B147" s="43"/>
      <c r="C147" s="44"/>
      <c r="D147" s="44"/>
      <c r="E147" s="45"/>
      <c r="F147">
        <v>0</v>
      </c>
    </row>
    <row r="148" spans="2:6" x14ac:dyDescent="0.35">
      <c r="B148" s="43"/>
      <c r="C148" s="44"/>
      <c r="D148" s="44"/>
      <c r="E148" s="45"/>
      <c r="F148">
        <v>0</v>
      </c>
    </row>
    <row r="149" spans="2:6" x14ac:dyDescent="0.35">
      <c r="B149" s="43"/>
      <c r="C149" s="44"/>
      <c r="D149" s="44"/>
      <c r="E149" s="45"/>
      <c r="F149">
        <v>0</v>
      </c>
    </row>
    <row r="150" spans="2:6" x14ac:dyDescent="0.35">
      <c r="B150" s="43"/>
      <c r="C150" s="44"/>
      <c r="D150" s="44"/>
      <c r="E150" s="45"/>
      <c r="F150">
        <v>0</v>
      </c>
    </row>
    <row r="151" spans="2:6" x14ac:dyDescent="0.35">
      <c r="B151" s="43"/>
      <c r="C151" s="44"/>
      <c r="D151" s="44"/>
      <c r="E151" s="45"/>
      <c r="F151">
        <v>0</v>
      </c>
    </row>
    <row r="152" spans="2:6" x14ac:dyDescent="0.35">
      <c r="B152" s="43"/>
      <c r="C152" s="44"/>
      <c r="D152" s="44"/>
      <c r="E152" s="45"/>
      <c r="F152">
        <v>0</v>
      </c>
    </row>
    <row r="153" spans="2:6" x14ac:dyDescent="0.35">
      <c r="B153" s="43"/>
      <c r="C153" s="44"/>
      <c r="D153" s="44"/>
      <c r="E153" s="45"/>
      <c r="F153">
        <v>0</v>
      </c>
    </row>
    <row r="154" spans="2:6" x14ac:dyDescent="0.35">
      <c r="B154" s="43"/>
      <c r="C154" s="44"/>
      <c r="D154" s="44"/>
      <c r="E154" s="45"/>
      <c r="F154">
        <v>0</v>
      </c>
    </row>
    <row r="155" spans="2:6" x14ac:dyDescent="0.35">
      <c r="B155" s="43"/>
      <c r="C155" s="44"/>
      <c r="D155" s="44"/>
      <c r="E155" s="45"/>
      <c r="F155">
        <v>0</v>
      </c>
    </row>
    <row r="156" spans="2:6" x14ac:dyDescent="0.35">
      <c r="B156" s="43"/>
      <c r="C156" s="44"/>
      <c r="D156" s="44"/>
      <c r="E156" s="45"/>
      <c r="F156">
        <v>0</v>
      </c>
    </row>
    <row r="157" spans="2:6" x14ac:dyDescent="0.35">
      <c r="B157" s="43"/>
      <c r="C157" s="44"/>
      <c r="D157" s="44"/>
      <c r="E157" s="45"/>
      <c r="F157">
        <v>0</v>
      </c>
    </row>
    <row r="158" spans="2:6" x14ac:dyDescent="0.35">
      <c r="B158" s="43"/>
      <c r="C158" s="44"/>
      <c r="D158" s="44"/>
      <c r="E158" s="45"/>
      <c r="F158">
        <v>0</v>
      </c>
    </row>
    <row r="159" spans="2:6" x14ac:dyDescent="0.35">
      <c r="B159" s="43"/>
      <c r="C159" s="44"/>
      <c r="D159" s="44"/>
      <c r="E159" s="45"/>
      <c r="F159">
        <v>0</v>
      </c>
    </row>
    <row r="160" spans="2:6" x14ac:dyDescent="0.35">
      <c r="B160" s="43"/>
      <c r="C160" s="44"/>
      <c r="D160" s="44"/>
      <c r="E160" s="45"/>
      <c r="F160">
        <v>0</v>
      </c>
    </row>
    <row r="161" spans="2:6" x14ac:dyDescent="0.35">
      <c r="B161" s="43"/>
      <c r="C161" s="44"/>
      <c r="D161" s="44"/>
      <c r="E161" s="45"/>
      <c r="F161">
        <v>0</v>
      </c>
    </row>
    <row r="162" spans="2:6" x14ac:dyDescent="0.35">
      <c r="B162" s="43"/>
      <c r="C162" s="44"/>
      <c r="D162" s="44"/>
      <c r="E162" s="45"/>
      <c r="F162">
        <v>0</v>
      </c>
    </row>
    <row r="163" spans="2:6" x14ac:dyDescent="0.35">
      <c r="B163" s="43"/>
      <c r="C163" s="44"/>
      <c r="D163" s="44"/>
      <c r="E163" s="45"/>
      <c r="F163">
        <v>0</v>
      </c>
    </row>
    <row r="164" spans="2:6" x14ac:dyDescent="0.35">
      <c r="B164" s="43"/>
      <c r="C164" s="44"/>
      <c r="D164" s="44"/>
      <c r="E164" s="45"/>
      <c r="F164">
        <v>0</v>
      </c>
    </row>
    <row r="165" spans="2:6" x14ac:dyDescent="0.35">
      <c r="B165" s="43"/>
      <c r="C165" s="44"/>
      <c r="D165" s="44"/>
      <c r="E165" s="45"/>
      <c r="F165">
        <v>0</v>
      </c>
    </row>
    <row r="166" spans="2:6" x14ac:dyDescent="0.35">
      <c r="B166" s="43"/>
      <c r="C166" s="44"/>
      <c r="D166" s="44"/>
      <c r="E166" s="45"/>
      <c r="F166">
        <v>0</v>
      </c>
    </row>
    <row r="167" spans="2:6" x14ac:dyDescent="0.35">
      <c r="B167" s="43"/>
      <c r="C167" s="44"/>
      <c r="D167" s="44"/>
      <c r="E167" s="45"/>
      <c r="F167">
        <v>0</v>
      </c>
    </row>
    <row r="168" spans="2:6" x14ac:dyDescent="0.35">
      <c r="B168" s="43"/>
      <c r="C168" s="44"/>
      <c r="D168" s="44"/>
      <c r="E168" s="45"/>
      <c r="F168">
        <v>0</v>
      </c>
    </row>
    <row r="169" spans="2:6" x14ac:dyDescent="0.35">
      <c r="B169" s="43"/>
      <c r="C169" s="44"/>
      <c r="D169" s="44"/>
      <c r="E169" s="45"/>
      <c r="F169">
        <v>0</v>
      </c>
    </row>
    <row r="170" spans="2:6" x14ac:dyDescent="0.35">
      <c r="B170" s="43"/>
      <c r="C170" s="44"/>
      <c r="D170" s="44"/>
      <c r="E170" s="45"/>
      <c r="F170">
        <v>0</v>
      </c>
    </row>
    <row r="171" spans="2:6" x14ac:dyDescent="0.35">
      <c r="B171" s="43"/>
      <c r="C171" s="44"/>
      <c r="D171" s="44"/>
      <c r="E171" s="45"/>
      <c r="F171">
        <v>0</v>
      </c>
    </row>
    <row r="172" spans="2:6" x14ac:dyDescent="0.35">
      <c r="B172" s="43"/>
      <c r="C172" s="44"/>
      <c r="D172" s="44"/>
      <c r="E172" s="45"/>
      <c r="F172">
        <v>0</v>
      </c>
    </row>
    <row r="173" spans="2:6" x14ac:dyDescent="0.35">
      <c r="B173" s="43"/>
      <c r="C173" s="44"/>
      <c r="D173" s="44"/>
      <c r="E173" s="45"/>
      <c r="F173">
        <v>0</v>
      </c>
    </row>
    <row r="174" spans="2:6" x14ac:dyDescent="0.35">
      <c r="B174" s="43"/>
      <c r="C174" s="44"/>
      <c r="D174" s="44"/>
      <c r="E174" s="45"/>
      <c r="F174">
        <v>0</v>
      </c>
    </row>
    <row r="175" spans="2:6" x14ac:dyDescent="0.35">
      <c r="B175" s="43"/>
      <c r="C175" s="44"/>
      <c r="D175" s="44"/>
      <c r="E175" s="45"/>
      <c r="F175">
        <v>0</v>
      </c>
    </row>
    <row r="176" spans="2:6" x14ac:dyDescent="0.35">
      <c r="B176" s="43"/>
      <c r="C176" s="44"/>
      <c r="D176" s="44"/>
      <c r="E176" s="45"/>
      <c r="F176">
        <v>0</v>
      </c>
    </row>
    <row r="177" spans="2:6" x14ac:dyDescent="0.35">
      <c r="B177" s="43"/>
      <c r="C177" s="44"/>
      <c r="D177" s="44"/>
      <c r="E177" s="45"/>
      <c r="F177">
        <v>0</v>
      </c>
    </row>
    <row r="178" spans="2:6" x14ac:dyDescent="0.35">
      <c r="B178" s="43"/>
      <c r="C178" s="44"/>
      <c r="D178" s="44"/>
      <c r="E178" s="45"/>
      <c r="F178">
        <v>0</v>
      </c>
    </row>
    <row r="179" spans="2:6" x14ac:dyDescent="0.35">
      <c r="B179" s="43"/>
      <c r="C179" s="44"/>
      <c r="D179" s="44"/>
      <c r="E179" s="45"/>
      <c r="F179">
        <v>0</v>
      </c>
    </row>
    <row r="180" spans="2:6" x14ac:dyDescent="0.35">
      <c r="B180" s="43"/>
      <c r="C180" s="44"/>
      <c r="D180" s="44"/>
      <c r="E180" s="45"/>
      <c r="F180">
        <v>0</v>
      </c>
    </row>
    <row r="181" spans="2:6" x14ac:dyDescent="0.35">
      <c r="B181" s="43"/>
      <c r="C181" s="44"/>
      <c r="D181" s="44"/>
      <c r="E181" s="45"/>
      <c r="F181">
        <v>0</v>
      </c>
    </row>
    <row r="182" spans="2:6" x14ac:dyDescent="0.35">
      <c r="B182" s="43"/>
      <c r="C182" s="44"/>
      <c r="D182" s="44"/>
      <c r="E182" s="45"/>
      <c r="F182">
        <v>0</v>
      </c>
    </row>
    <row r="183" spans="2:6" x14ac:dyDescent="0.35">
      <c r="B183" s="43"/>
      <c r="C183" s="44"/>
      <c r="D183" s="44"/>
      <c r="E183" s="45"/>
      <c r="F183">
        <v>0</v>
      </c>
    </row>
    <row r="184" spans="2:6" x14ac:dyDescent="0.35">
      <c r="B184" s="43"/>
      <c r="C184" s="44"/>
      <c r="D184" s="44"/>
      <c r="E184" s="45"/>
      <c r="F184">
        <v>0</v>
      </c>
    </row>
    <row r="185" spans="2:6" x14ac:dyDescent="0.35">
      <c r="B185" s="43"/>
      <c r="C185" s="44"/>
      <c r="D185" s="44"/>
      <c r="E185" s="45"/>
      <c r="F185">
        <v>0</v>
      </c>
    </row>
    <row r="186" spans="2:6" x14ac:dyDescent="0.35">
      <c r="B186" s="43"/>
      <c r="C186" s="44"/>
      <c r="D186" s="44"/>
      <c r="E186" s="45"/>
      <c r="F186">
        <v>0</v>
      </c>
    </row>
    <row r="187" spans="2:6" x14ac:dyDescent="0.35">
      <c r="B187" s="43"/>
      <c r="C187" s="44"/>
      <c r="D187" s="44"/>
      <c r="E187" s="45"/>
      <c r="F187">
        <v>0</v>
      </c>
    </row>
    <row r="188" spans="2:6" x14ac:dyDescent="0.35">
      <c r="B188" s="43"/>
      <c r="C188" s="44"/>
      <c r="D188" s="44"/>
      <c r="E188" s="45"/>
      <c r="F188">
        <v>0</v>
      </c>
    </row>
    <row r="189" spans="2:6" x14ac:dyDescent="0.35">
      <c r="B189" s="43"/>
      <c r="C189" s="44"/>
      <c r="D189" s="44"/>
      <c r="E189" s="45"/>
      <c r="F189">
        <v>0</v>
      </c>
    </row>
    <row r="190" spans="2:6" x14ac:dyDescent="0.35">
      <c r="B190" s="43"/>
      <c r="C190" s="44"/>
      <c r="D190" s="44"/>
      <c r="E190" s="45"/>
      <c r="F190">
        <v>0</v>
      </c>
    </row>
    <row r="191" spans="2:6" x14ac:dyDescent="0.35">
      <c r="B191" s="43"/>
      <c r="C191" s="44"/>
      <c r="D191" s="44"/>
      <c r="E191" s="45"/>
      <c r="F191">
        <v>0</v>
      </c>
    </row>
    <row r="192" spans="2:6" x14ac:dyDescent="0.35">
      <c r="B192" s="43"/>
      <c r="C192" s="44"/>
      <c r="D192" s="44"/>
      <c r="E192" s="45"/>
      <c r="F192">
        <v>0</v>
      </c>
    </row>
    <row r="193" spans="2:6" x14ac:dyDescent="0.35">
      <c r="B193" s="43"/>
      <c r="C193" s="44"/>
      <c r="D193" s="44"/>
      <c r="E193" s="45"/>
      <c r="F193">
        <v>0</v>
      </c>
    </row>
    <row r="194" spans="2:6" x14ac:dyDescent="0.35">
      <c r="B194" s="43"/>
      <c r="C194" s="44"/>
      <c r="D194" s="44"/>
      <c r="E194" s="45"/>
      <c r="F194">
        <v>0</v>
      </c>
    </row>
    <row r="195" spans="2:6" x14ac:dyDescent="0.35">
      <c r="B195" s="43"/>
      <c r="C195" s="44"/>
      <c r="D195" s="44"/>
      <c r="E195" s="45"/>
      <c r="F195">
        <v>0</v>
      </c>
    </row>
    <row r="196" spans="2:6" x14ac:dyDescent="0.35">
      <c r="B196" s="43"/>
      <c r="C196" s="44"/>
      <c r="D196" s="44"/>
      <c r="E196" s="45"/>
      <c r="F196">
        <v>0</v>
      </c>
    </row>
    <row r="197" spans="2:6" x14ac:dyDescent="0.35">
      <c r="B197" s="43"/>
      <c r="C197" s="44"/>
      <c r="D197" s="44"/>
      <c r="E197" s="45"/>
      <c r="F197">
        <v>0</v>
      </c>
    </row>
    <row r="198" spans="2:6" x14ac:dyDescent="0.35">
      <c r="B198" s="43"/>
      <c r="C198" s="44"/>
      <c r="D198" s="44"/>
      <c r="E198" s="45"/>
      <c r="F198">
        <v>0</v>
      </c>
    </row>
    <row r="199" spans="2:6" x14ac:dyDescent="0.35">
      <c r="B199" s="43"/>
      <c r="C199" s="44"/>
      <c r="D199" s="44"/>
      <c r="E199" s="45"/>
      <c r="F199">
        <v>0</v>
      </c>
    </row>
    <row r="200" spans="2:6" x14ac:dyDescent="0.35">
      <c r="B200" s="43"/>
      <c r="C200" s="44"/>
      <c r="D200" s="44"/>
      <c r="E200" s="45"/>
      <c r="F200">
        <v>0</v>
      </c>
    </row>
    <row r="201" spans="2:6" x14ac:dyDescent="0.35">
      <c r="B201" s="43"/>
      <c r="C201" s="44"/>
      <c r="D201" s="44"/>
      <c r="E201" s="45"/>
      <c r="F201">
        <v>0</v>
      </c>
    </row>
    <row r="202" spans="2:6" x14ac:dyDescent="0.35">
      <c r="B202" s="43"/>
      <c r="C202" s="44"/>
      <c r="D202" s="44"/>
      <c r="E202" s="45"/>
      <c r="F202">
        <v>0</v>
      </c>
    </row>
    <row r="203" spans="2:6" x14ac:dyDescent="0.35">
      <c r="B203" s="43"/>
      <c r="C203" s="44"/>
      <c r="D203" s="44"/>
      <c r="E203" s="45"/>
      <c r="F203">
        <v>0</v>
      </c>
    </row>
    <row r="204" spans="2:6" x14ac:dyDescent="0.35">
      <c r="B204" s="43"/>
      <c r="C204" s="44"/>
      <c r="D204" s="44"/>
      <c r="E204" s="45"/>
      <c r="F204">
        <v>0</v>
      </c>
    </row>
    <row r="205" spans="2:6" x14ac:dyDescent="0.35">
      <c r="B205" s="43"/>
      <c r="C205" s="44"/>
      <c r="D205" s="44"/>
      <c r="E205" s="45"/>
      <c r="F205">
        <v>0</v>
      </c>
    </row>
    <row r="206" spans="2:6" x14ac:dyDescent="0.35">
      <c r="B206" s="43"/>
      <c r="C206" s="44"/>
      <c r="D206" s="44"/>
      <c r="E206" s="45"/>
      <c r="F206">
        <v>0</v>
      </c>
    </row>
    <row r="207" spans="2:6" x14ac:dyDescent="0.35">
      <c r="B207" s="43"/>
      <c r="C207" s="44"/>
      <c r="D207" s="44"/>
      <c r="E207" s="45"/>
      <c r="F207">
        <v>0</v>
      </c>
    </row>
    <row r="208" spans="2:6" x14ac:dyDescent="0.35">
      <c r="B208" s="43"/>
      <c r="C208" s="44"/>
      <c r="D208" s="44"/>
      <c r="E208" s="45"/>
      <c r="F208">
        <v>0</v>
      </c>
    </row>
    <row r="209" spans="2:6" x14ac:dyDescent="0.35">
      <c r="B209" s="43"/>
      <c r="C209" s="44"/>
      <c r="D209" s="44"/>
      <c r="E209" s="45"/>
      <c r="F209">
        <v>0</v>
      </c>
    </row>
    <row r="210" spans="2:6" x14ac:dyDescent="0.35">
      <c r="B210" s="43"/>
      <c r="C210" s="44"/>
      <c r="D210" s="44"/>
      <c r="E210" s="45"/>
      <c r="F210">
        <v>0</v>
      </c>
    </row>
    <row r="211" spans="2:6" x14ac:dyDescent="0.35">
      <c r="B211" s="43"/>
      <c r="C211" s="44"/>
      <c r="D211" s="44"/>
      <c r="E211" s="45"/>
      <c r="F211">
        <v>0</v>
      </c>
    </row>
    <row r="212" spans="2:6" x14ac:dyDescent="0.35">
      <c r="B212" s="43"/>
      <c r="C212" s="44"/>
      <c r="D212" s="44"/>
      <c r="E212" s="45"/>
      <c r="F212">
        <v>0</v>
      </c>
    </row>
    <row r="213" spans="2:6" x14ac:dyDescent="0.35">
      <c r="B213" s="43"/>
      <c r="C213" s="44"/>
      <c r="D213" s="44"/>
      <c r="E213" s="45"/>
      <c r="F213">
        <v>0</v>
      </c>
    </row>
    <row r="214" spans="2:6" x14ac:dyDescent="0.35">
      <c r="B214" s="43"/>
      <c r="C214" s="44"/>
      <c r="D214" s="44"/>
      <c r="E214" s="45"/>
      <c r="F214">
        <v>0</v>
      </c>
    </row>
    <row r="215" spans="2:6" x14ac:dyDescent="0.35">
      <c r="B215" s="43"/>
      <c r="C215" s="44"/>
      <c r="D215" s="44"/>
      <c r="E215" s="45"/>
      <c r="F215">
        <v>0</v>
      </c>
    </row>
    <row r="216" spans="2:6" x14ac:dyDescent="0.35">
      <c r="B216" s="43"/>
      <c r="C216" s="44"/>
      <c r="D216" s="44"/>
      <c r="E216" s="45"/>
      <c r="F216">
        <v>0</v>
      </c>
    </row>
    <row r="217" spans="2:6" x14ac:dyDescent="0.35">
      <c r="B217" s="43"/>
      <c r="C217" s="44"/>
      <c r="D217" s="44"/>
      <c r="E217" s="45"/>
      <c r="F217">
        <v>0</v>
      </c>
    </row>
    <row r="218" spans="2:6" x14ac:dyDescent="0.35">
      <c r="B218" s="43"/>
      <c r="C218" s="44"/>
      <c r="D218" s="44"/>
      <c r="E218" s="45"/>
      <c r="F218">
        <v>0</v>
      </c>
    </row>
    <row r="219" spans="2:6" x14ac:dyDescent="0.35">
      <c r="B219" s="43"/>
      <c r="C219" s="44"/>
      <c r="D219" s="44"/>
      <c r="E219" s="45"/>
      <c r="F219">
        <v>0</v>
      </c>
    </row>
    <row r="220" spans="2:6" x14ac:dyDescent="0.35">
      <c r="B220" s="43"/>
      <c r="C220" s="44"/>
      <c r="D220" s="44"/>
      <c r="E220" s="45"/>
      <c r="F220">
        <v>0</v>
      </c>
    </row>
    <row r="221" spans="2:6" x14ac:dyDescent="0.35">
      <c r="B221" s="43"/>
      <c r="C221" s="44"/>
      <c r="D221" s="44"/>
      <c r="E221" s="45"/>
      <c r="F221">
        <v>0</v>
      </c>
    </row>
    <row r="222" spans="2:6" x14ac:dyDescent="0.35">
      <c r="B222" s="43"/>
      <c r="C222" s="44"/>
      <c r="D222" s="44"/>
      <c r="E222" s="45"/>
      <c r="F222">
        <v>0</v>
      </c>
    </row>
    <row r="223" spans="2:6" x14ac:dyDescent="0.35">
      <c r="B223" s="43"/>
      <c r="C223" s="44"/>
      <c r="D223" s="44"/>
      <c r="E223" s="45"/>
      <c r="F223">
        <v>0</v>
      </c>
    </row>
    <row r="224" spans="2:6" x14ac:dyDescent="0.35">
      <c r="B224" s="43"/>
      <c r="C224" s="44"/>
      <c r="D224" s="44"/>
      <c r="E224" s="45"/>
      <c r="F224">
        <v>0</v>
      </c>
    </row>
    <row r="225" spans="2:6" x14ac:dyDescent="0.35">
      <c r="B225" s="43"/>
      <c r="C225" s="44"/>
      <c r="D225" s="44"/>
      <c r="E225" s="45"/>
      <c r="F225">
        <v>0</v>
      </c>
    </row>
    <row r="226" spans="2:6" x14ac:dyDescent="0.35">
      <c r="B226" s="43"/>
      <c r="C226" s="44"/>
      <c r="D226" s="44"/>
      <c r="E226" s="45"/>
      <c r="F226">
        <v>0</v>
      </c>
    </row>
    <row r="227" spans="2:6" x14ac:dyDescent="0.35">
      <c r="B227" s="43"/>
      <c r="C227" s="44"/>
      <c r="D227" s="44"/>
      <c r="E227" s="45"/>
      <c r="F227">
        <v>0</v>
      </c>
    </row>
    <row r="228" spans="2:6" x14ac:dyDescent="0.35">
      <c r="B228" s="43"/>
      <c r="C228" s="44"/>
      <c r="D228" s="44"/>
      <c r="E228" s="45"/>
      <c r="F228">
        <v>0</v>
      </c>
    </row>
    <row r="229" spans="2:6" x14ac:dyDescent="0.35">
      <c r="B229" s="43"/>
      <c r="C229" s="44"/>
      <c r="D229" s="44"/>
      <c r="E229" s="45"/>
      <c r="F229">
        <v>0</v>
      </c>
    </row>
    <row r="230" spans="2:6" x14ac:dyDescent="0.35">
      <c r="B230" s="43"/>
      <c r="C230" s="44"/>
      <c r="D230" s="44"/>
      <c r="E230" s="45"/>
      <c r="F230">
        <v>0</v>
      </c>
    </row>
    <row r="231" spans="2:6" x14ac:dyDescent="0.35">
      <c r="B231" s="43"/>
      <c r="C231" s="44"/>
      <c r="D231" s="44"/>
      <c r="E231" s="45"/>
      <c r="F231">
        <v>0</v>
      </c>
    </row>
    <row r="232" spans="2:6" x14ac:dyDescent="0.35">
      <c r="B232" s="43"/>
      <c r="C232" s="44"/>
      <c r="D232" s="44"/>
      <c r="E232" s="45"/>
      <c r="F232">
        <v>0</v>
      </c>
    </row>
    <row r="233" spans="2:6" x14ac:dyDescent="0.35">
      <c r="B233" s="43"/>
      <c r="C233" s="44"/>
      <c r="D233" s="44"/>
      <c r="E233" s="45"/>
      <c r="F233">
        <v>0</v>
      </c>
    </row>
    <row r="234" spans="2:6" x14ac:dyDescent="0.35">
      <c r="B234" s="43"/>
      <c r="C234" s="44"/>
      <c r="D234" s="44"/>
      <c r="E234" s="45"/>
      <c r="F234">
        <v>0</v>
      </c>
    </row>
    <row r="235" spans="2:6" x14ac:dyDescent="0.35">
      <c r="B235" s="43"/>
      <c r="C235" s="44"/>
      <c r="D235" s="44"/>
      <c r="E235" s="45"/>
      <c r="F235">
        <v>0</v>
      </c>
    </row>
    <row r="236" spans="2:6" x14ac:dyDescent="0.35">
      <c r="B236" s="43"/>
      <c r="C236" s="44"/>
      <c r="D236" s="44"/>
      <c r="E236" s="45"/>
      <c r="F236">
        <v>0</v>
      </c>
    </row>
    <row r="237" spans="2:6" x14ac:dyDescent="0.35">
      <c r="B237" s="43"/>
      <c r="C237" s="44"/>
      <c r="D237" s="44"/>
      <c r="E237" s="45"/>
      <c r="F237">
        <v>0</v>
      </c>
    </row>
    <row r="238" spans="2:6" x14ac:dyDescent="0.35">
      <c r="B238" s="43"/>
      <c r="C238" s="44"/>
      <c r="D238" s="44"/>
      <c r="E238" s="45"/>
      <c r="F238">
        <v>0</v>
      </c>
    </row>
    <row r="239" spans="2:6" x14ac:dyDescent="0.35">
      <c r="B239" s="43"/>
      <c r="C239" s="44"/>
      <c r="D239" s="44"/>
      <c r="E239" s="45"/>
      <c r="F239">
        <v>0</v>
      </c>
    </row>
    <row r="240" spans="2:6" x14ac:dyDescent="0.35">
      <c r="B240" s="43"/>
      <c r="C240" s="44"/>
      <c r="D240" s="44"/>
      <c r="E240" s="45"/>
      <c r="F240">
        <v>0</v>
      </c>
    </row>
    <row r="241" spans="2:6" x14ac:dyDescent="0.35">
      <c r="B241" s="43"/>
      <c r="C241" s="44"/>
      <c r="D241" s="44"/>
      <c r="E241" s="45"/>
      <c r="F241">
        <v>0</v>
      </c>
    </row>
    <row r="242" spans="2:6" x14ac:dyDescent="0.35">
      <c r="B242" s="43"/>
      <c r="C242" s="44"/>
      <c r="D242" s="44"/>
      <c r="E242" s="45"/>
      <c r="F242">
        <v>0</v>
      </c>
    </row>
    <row r="243" spans="2:6" x14ac:dyDescent="0.35">
      <c r="B243" s="43"/>
      <c r="C243" s="44"/>
      <c r="D243" s="44"/>
      <c r="E243" s="45"/>
      <c r="F243">
        <v>0</v>
      </c>
    </row>
    <row r="244" spans="2:6" x14ac:dyDescent="0.35">
      <c r="B244" s="43"/>
      <c r="C244" s="44"/>
      <c r="D244" s="44"/>
      <c r="E244" s="45"/>
      <c r="F244">
        <v>0</v>
      </c>
    </row>
    <row r="245" spans="2:6" x14ac:dyDescent="0.35">
      <c r="B245" s="43"/>
      <c r="C245" s="44"/>
      <c r="D245" s="44"/>
      <c r="E245" s="45"/>
      <c r="F245">
        <v>0</v>
      </c>
    </row>
    <row r="246" spans="2:6" x14ac:dyDescent="0.35">
      <c r="B246" s="43"/>
      <c r="C246" s="44"/>
      <c r="D246" s="44"/>
      <c r="E246" s="45"/>
      <c r="F246">
        <v>0</v>
      </c>
    </row>
    <row r="247" spans="2:6" x14ac:dyDescent="0.35">
      <c r="B247" s="43"/>
      <c r="C247" s="44"/>
      <c r="D247" s="44"/>
      <c r="E247" s="45"/>
      <c r="F247">
        <v>0</v>
      </c>
    </row>
    <row r="248" spans="2:6" x14ac:dyDescent="0.35">
      <c r="B248" s="43"/>
      <c r="C248" s="44"/>
      <c r="D248" s="44"/>
      <c r="E248" s="45"/>
      <c r="F248">
        <v>0</v>
      </c>
    </row>
    <row r="249" spans="2:6" x14ac:dyDescent="0.35">
      <c r="B249" s="43"/>
      <c r="C249" s="44"/>
      <c r="D249" s="44"/>
      <c r="E249" s="45"/>
      <c r="F249">
        <v>0</v>
      </c>
    </row>
    <row r="250" spans="2:6" x14ac:dyDescent="0.35">
      <c r="B250" s="43"/>
      <c r="C250" s="44"/>
      <c r="D250" s="44"/>
      <c r="E250" s="45"/>
      <c r="F250">
        <v>0</v>
      </c>
    </row>
    <row r="251" spans="2:6" x14ac:dyDescent="0.35">
      <c r="B251" s="43"/>
      <c r="C251" s="44"/>
      <c r="D251" s="44"/>
      <c r="E251" s="45"/>
      <c r="F251">
        <v>0</v>
      </c>
    </row>
    <row r="252" spans="2:6" x14ac:dyDescent="0.35">
      <c r="B252" s="43"/>
      <c r="C252" s="44"/>
      <c r="D252" s="44"/>
      <c r="E252" s="45"/>
      <c r="F252">
        <v>0</v>
      </c>
    </row>
    <row r="253" spans="2:6" x14ac:dyDescent="0.35">
      <c r="B253" s="43"/>
      <c r="C253" s="44"/>
      <c r="D253" s="44"/>
      <c r="E253" s="45"/>
      <c r="F253">
        <v>0</v>
      </c>
    </row>
    <row r="254" spans="2:6" x14ac:dyDescent="0.35">
      <c r="B254" s="43"/>
      <c r="C254" s="44"/>
      <c r="D254" s="44"/>
      <c r="E254" s="45"/>
      <c r="F254">
        <v>0</v>
      </c>
    </row>
    <row r="255" spans="2:6" x14ac:dyDescent="0.35">
      <c r="B255" s="43"/>
      <c r="C255" s="44"/>
      <c r="D255" s="44"/>
      <c r="E255" s="45"/>
      <c r="F255">
        <v>0</v>
      </c>
    </row>
    <row r="256" spans="2:6" x14ac:dyDescent="0.35">
      <c r="B256" s="43"/>
      <c r="C256" s="44"/>
      <c r="D256" s="44"/>
      <c r="E256" s="45"/>
      <c r="F256">
        <v>0</v>
      </c>
    </row>
    <row r="257" spans="2:6" x14ac:dyDescent="0.35">
      <c r="B257" s="43"/>
      <c r="C257" s="44"/>
      <c r="D257" s="44"/>
      <c r="E257" s="45"/>
      <c r="F257">
        <v>0</v>
      </c>
    </row>
    <row r="258" spans="2:6" x14ac:dyDescent="0.35">
      <c r="B258" s="43"/>
      <c r="C258" s="44"/>
      <c r="D258" s="44"/>
      <c r="E258" s="45"/>
      <c r="F258">
        <v>0</v>
      </c>
    </row>
    <row r="259" spans="2:6" x14ac:dyDescent="0.35">
      <c r="B259" s="43"/>
      <c r="C259" s="44"/>
      <c r="D259" s="44"/>
      <c r="E259" s="45"/>
      <c r="F259">
        <v>0</v>
      </c>
    </row>
    <row r="260" spans="2:6" x14ac:dyDescent="0.35">
      <c r="B260" s="43"/>
      <c r="C260" s="44"/>
      <c r="D260" s="44"/>
      <c r="E260" s="45"/>
      <c r="F260">
        <v>0</v>
      </c>
    </row>
    <row r="261" spans="2:6" x14ac:dyDescent="0.35">
      <c r="B261" s="43"/>
      <c r="C261" s="44"/>
      <c r="D261" s="44"/>
      <c r="E261" s="45"/>
      <c r="F261">
        <v>0</v>
      </c>
    </row>
    <row r="262" spans="2:6" x14ac:dyDescent="0.35">
      <c r="B262" s="43"/>
      <c r="C262" s="44"/>
      <c r="D262" s="44"/>
      <c r="E262" s="45"/>
      <c r="F262">
        <v>0</v>
      </c>
    </row>
    <row r="263" spans="2:6" x14ac:dyDescent="0.35">
      <c r="B263" s="43"/>
      <c r="C263" s="44"/>
      <c r="D263" s="44"/>
      <c r="E263" s="45"/>
      <c r="F263">
        <v>0</v>
      </c>
    </row>
    <row r="264" spans="2:6" x14ac:dyDescent="0.35">
      <c r="B264" s="43"/>
      <c r="C264" s="44"/>
      <c r="D264" s="44"/>
      <c r="E264" s="45"/>
      <c r="F264">
        <v>0</v>
      </c>
    </row>
    <row r="265" spans="2:6" x14ac:dyDescent="0.35">
      <c r="B265" s="43"/>
      <c r="C265" s="44"/>
      <c r="D265" s="44"/>
      <c r="E265" s="45"/>
      <c r="F265">
        <v>0</v>
      </c>
    </row>
    <row r="266" spans="2:6" x14ac:dyDescent="0.35">
      <c r="B266" s="43"/>
      <c r="C266" s="44"/>
      <c r="D266" s="44"/>
      <c r="E266" s="45"/>
      <c r="F266">
        <v>0</v>
      </c>
    </row>
    <row r="267" spans="2:6" x14ac:dyDescent="0.35">
      <c r="B267" s="43"/>
      <c r="C267" s="44"/>
      <c r="D267" s="44"/>
      <c r="E267" s="45"/>
      <c r="F267">
        <v>0</v>
      </c>
    </row>
    <row r="268" spans="2:6" x14ac:dyDescent="0.35">
      <c r="B268" s="43"/>
      <c r="C268" s="44"/>
      <c r="D268" s="44"/>
      <c r="E268" s="45"/>
      <c r="F268">
        <v>0</v>
      </c>
    </row>
    <row r="269" spans="2:6" x14ac:dyDescent="0.35">
      <c r="B269" s="43"/>
      <c r="C269" s="44"/>
      <c r="D269" s="44"/>
      <c r="E269" s="45"/>
      <c r="F269">
        <v>0</v>
      </c>
    </row>
    <row r="270" spans="2:6" x14ac:dyDescent="0.35">
      <c r="B270" s="43"/>
      <c r="C270" s="44"/>
      <c r="D270" s="44"/>
      <c r="E270" s="45"/>
      <c r="F270">
        <v>0</v>
      </c>
    </row>
    <row r="271" spans="2:6" x14ac:dyDescent="0.35">
      <c r="B271" s="43"/>
      <c r="C271" s="44"/>
      <c r="D271" s="44"/>
      <c r="E271" s="45"/>
      <c r="F271">
        <v>0</v>
      </c>
    </row>
    <row r="272" spans="2:6" x14ac:dyDescent="0.35">
      <c r="B272" s="43"/>
      <c r="C272" s="44"/>
      <c r="D272" s="44"/>
      <c r="E272" s="45"/>
      <c r="F272">
        <v>0</v>
      </c>
    </row>
    <row r="273" spans="2:6" x14ac:dyDescent="0.35">
      <c r="B273" s="43"/>
      <c r="C273" s="44"/>
      <c r="D273" s="44"/>
      <c r="E273" s="45"/>
      <c r="F273">
        <v>0</v>
      </c>
    </row>
    <row r="274" spans="2:6" x14ac:dyDescent="0.35">
      <c r="B274" s="43"/>
      <c r="C274" s="44"/>
      <c r="D274" s="44"/>
      <c r="E274" s="45"/>
      <c r="F274">
        <v>0</v>
      </c>
    </row>
    <row r="275" spans="2:6" x14ac:dyDescent="0.35">
      <c r="B275" s="43"/>
      <c r="C275" s="44"/>
      <c r="D275" s="44"/>
      <c r="E275" s="45"/>
      <c r="F275">
        <v>0</v>
      </c>
    </row>
    <row r="276" spans="2:6" x14ac:dyDescent="0.35">
      <c r="B276" s="43"/>
      <c r="C276" s="44"/>
      <c r="D276" s="44"/>
      <c r="E276" s="45"/>
      <c r="F276">
        <v>0</v>
      </c>
    </row>
    <row r="277" spans="2:6" x14ac:dyDescent="0.35">
      <c r="B277" s="43"/>
      <c r="C277" s="44"/>
      <c r="D277" s="44"/>
      <c r="E277" s="45"/>
      <c r="F277">
        <v>0</v>
      </c>
    </row>
    <row r="278" spans="2:6" x14ac:dyDescent="0.35">
      <c r="B278" s="43"/>
      <c r="C278" s="44"/>
      <c r="D278" s="44"/>
      <c r="E278" s="45"/>
      <c r="F278">
        <v>0</v>
      </c>
    </row>
    <row r="279" spans="2:6" x14ac:dyDescent="0.35">
      <c r="B279" s="43"/>
      <c r="C279" s="44"/>
      <c r="D279" s="44"/>
      <c r="E279" s="45"/>
      <c r="F279">
        <v>0</v>
      </c>
    </row>
    <row r="280" spans="2:6" x14ac:dyDescent="0.35">
      <c r="B280" s="43"/>
      <c r="C280" s="44"/>
      <c r="D280" s="44"/>
      <c r="E280" s="45"/>
      <c r="F280">
        <v>0</v>
      </c>
    </row>
    <row r="281" spans="2:6" x14ac:dyDescent="0.35">
      <c r="B281" s="43"/>
      <c r="C281" s="44"/>
      <c r="D281" s="44"/>
      <c r="E281" s="45"/>
      <c r="F281">
        <v>0</v>
      </c>
    </row>
    <row r="282" spans="2:6" x14ac:dyDescent="0.35">
      <c r="B282" s="43"/>
      <c r="C282" s="44"/>
      <c r="D282" s="44"/>
      <c r="E282" s="45"/>
      <c r="F282">
        <v>0</v>
      </c>
    </row>
    <row r="283" spans="2:6" x14ac:dyDescent="0.35">
      <c r="B283" s="43"/>
      <c r="C283" s="44"/>
      <c r="D283" s="44"/>
      <c r="E283" s="45"/>
      <c r="F283">
        <v>0</v>
      </c>
    </row>
    <row r="284" spans="2:6" x14ac:dyDescent="0.35">
      <c r="B284" s="43"/>
      <c r="C284" s="44"/>
      <c r="D284" s="44"/>
      <c r="E284" s="45"/>
      <c r="F284">
        <v>0</v>
      </c>
    </row>
    <row r="285" spans="2:6" x14ac:dyDescent="0.35">
      <c r="B285" s="43"/>
      <c r="C285" s="44"/>
      <c r="D285" s="44"/>
      <c r="E285" s="45"/>
      <c r="F285">
        <v>0</v>
      </c>
    </row>
    <row r="286" spans="2:6" x14ac:dyDescent="0.35">
      <c r="B286" s="43"/>
      <c r="C286" s="44"/>
      <c r="D286" s="44"/>
      <c r="E286" s="45"/>
      <c r="F286">
        <v>0</v>
      </c>
    </row>
    <row r="287" spans="2:6" x14ac:dyDescent="0.35">
      <c r="B287" s="43"/>
      <c r="C287" s="44"/>
      <c r="D287" s="44"/>
      <c r="E287" s="45"/>
      <c r="F287">
        <v>0</v>
      </c>
    </row>
    <row r="288" spans="2:6" x14ac:dyDescent="0.35">
      <c r="B288" s="43"/>
      <c r="C288" s="44"/>
      <c r="D288" s="44"/>
      <c r="E288" s="45"/>
      <c r="F288">
        <v>0</v>
      </c>
    </row>
    <row r="289" spans="2:6" x14ac:dyDescent="0.35">
      <c r="B289" s="43"/>
      <c r="C289" s="44"/>
      <c r="D289" s="44"/>
      <c r="E289" s="45"/>
      <c r="F289">
        <v>0</v>
      </c>
    </row>
    <row r="290" spans="2:6" x14ac:dyDescent="0.35">
      <c r="B290" s="43"/>
      <c r="C290" s="44"/>
      <c r="D290" s="44"/>
      <c r="E290" s="45"/>
      <c r="F290">
        <v>0</v>
      </c>
    </row>
    <row r="291" spans="2:6" x14ac:dyDescent="0.35">
      <c r="B291" s="43"/>
      <c r="C291" s="44"/>
      <c r="D291" s="44"/>
      <c r="E291" s="45"/>
      <c r="F291">
        <v>0</v>
      </c>
    </row>
    <row r="292" spans="2:6" x14ac:dyDescent="0.35">
      <c r="B292" s="43"/>
      <c r="C292" s="44"/>
      <c r="D292" s="44"/>
      <c r="E292" s="45"/>
      <c r="F292">
        <v>0</v>
      </c>
    </row>
    <row r="293" spans="2:6" x14ac:dyDescent="0.35">
      <c r="B293" s="43"/>
      <c r="C293" s="44"/>
      <c r="D293" s="44"/>
      <c r="E293" s="45"/>
      <c r="F293">
        <v>0</v>
      </c>
    </row>
    <row r="294" spans="2:6" x14ac:dyDescent="0.35">
      <c r="B294" s="43"/>
      <c r="C294" s="44"/>
      <c r="D294" s="44"/>
      <c r="E294" s="45"/>
      <c r="F294">
        <v>0</v>
      </c>
    </row>
    <row r="295" spans="2:6" x14ac:dyDescent="0.35">
      <c r="B295" s="43"/>
      <c r="C295" s="44"/>
      <c r="D295" s="44"/>
      <c r="E295" s="45"/>
      <c r="F295">
        <v>0</v>
      </c>
    </row>
    <row r="296" spans="2:6" x14ac:dyDescent="0.35">
      <c r="B296" s="43"/>
      <c r="C296" s="44"/>
      <c r="D296" s="44"/>
      <c r="E296" s="45"/>
      <c r="F296">
        <v>0</v>
      </c>
    </row>
    <row r="297" spans="2:6" x14ac:dyDescent="0.35">
      <c r="B297" s="43"/>
      <c r="C297" s="44"/>
      <c r="D297" s="44"/>
      <c r="E297" s="45"/>
      <c r="F297">
        <v>0</v>
      </c>
    </row>
    <row r="298" spans="2:6" x14ac:dyDescent="0.35">
      <c r="B298" s="43"/>
      <c r="C298" s="44"/>
      <c r="D298" s="44"/>
      <c r="E298" s="45"/>
      <c r="F298">
        <v>0</v>
      </c>
    </row>
    <row r="299" spans="2:6" x14ac:dyDescent="0.35">
      <c r="B299" s="43"/>
      <c r="C299" s="44"/>
      <c r="D299" s="44"/>
      <c r="E299" s="45"/>
      <c r="F299">
        <v>0</v>
      </c>
    </row>
    <row r="300" spans="2:6" x14ac:dyDescent="0.35">
      <c r="B300" s="43"/>
      <c r="C300" s="44"/>
      <c r="D300" s="44"/>
      <c r="E300" s="45"/>
      <c r="F300">
        <v>0</v>
      </c>
    </row>
    <row r="301" spans="2:6" x14ac:dyDescent="0.35">
      <c r="B301" s="43"/>
      <c r="C301" s="44"/>
      <c r="D301" s="44"/>
      <c r="E301" s="45"/>
      <c r="F301">
        <v>0</v>
      </c>
    </row>
    <row r="302" spans="2:6" x14ac:dyDescent="0.35">
      <c r="B302" s="43"/>
      <c r="C302" s="44"/>
      <c r="D302" s="44"/>
      <c r="E302" s="45"/>
      <c r="F302">
        <v>0</v>
      </c>
    </row>
    <row r="303" spans="2:6" x14ac:dyDescent="0.35">
      <c r="B303" s="43"/>
      <c r="C303" s="44"/>
      <c r="D303" s="44"/>
      <c r="E303" s="45"/>
      <c r="F303">
        <v>0</v>
      </c>
    </row>
    <row r="304" spans="2:6" x14ac:dyDescent="0.35">
      <c r="B304" s="43"/>
      <c r="C304" s="44"/>
      <c r="D304" s="44"/>
      <c r="E304" s="45"/>
      <c r="F304">
        <v>0</v>
      </c>
    </row>
    <row r="305" spans="2:6" x14ac:dyDescent="0.35">
      <c r="B305" s="43"/>
      <c r="C305" s="44"/>
      <c r="D305" s="44"/>
      <c r="E305" s="45"/>
      <c r="F305">
        <v>0</v>
      </c>
    </row>
    <row r="306" spans="2:6" x14ac:dyDescent="0.35">
      <c r="B306" s="43"/>
      <c r="C306" s="44"/>
      <c r="D306" s="44"/>
      <c r="E306" s="45"/>
      <c r="F306">
        <v>0</v>
      </c>
    </row>
    <row r="307" spans="2:6" x14ac:dyDescent="0.35">
      <c r="B307" s="43"/>
      <c r="C307" s="44"/>
      <c r="D307" s="44"/>
      <c r="E307" s="45"/>
      <c r="F307">
        <v>0</v>
      </c>
    </row>
    <row r="308" spans="2:6" x14ac:dyDescent="0.35">
      <c r="B308" s="43"/>
      <c r="C308" s="44"/>
      <c r="D308" s="44"/>
      <c r="E308" s="45"/>
      <c r="F308">
        <v>0</v>
      </c>
    </row>
    <row r="309" spans="2:6" x14ac:dyDescent="0.35">
      <c r="B309" s="43"/>
      <c r="C309" s="44"/>
      <c r="D309" s="44"/>
      <c r="E309" s="45"/>
      <c r="F309">
        <v>0</v>
      </c>
    </row>
    <row r="310" spans="2:6" x14ac:dyDescent="0.35">
      <c r="B310" s="43"/>
      <c r="C310" s="44"/>
      <c r="D310" s="44"/>
      <c r="E310" s="45"/>
      <c r="F310">
        <v>0</v>
      </c>
    </row>
    <row r="311" spans="2:6" x14ac:dyDescent="0.35">
      <c r="B311" s="43"/>
      <c r="C311" s="44"/>
      <c r="D311" s="44"/>
      <c r="E311" s="45"/>
      <c r="F311">
        <v>0</v>
      </c>
    </row>
    <row r="312" spans="2:6" x14ac:dyDescent="0.35">
      <c r="B312" s="43"/>
      <c r="C312" s="44"/>
      <c r="D312" s="44"/>
      <c r="E312" s="45"/>
      <c r="F312">
        <v>0</v>
      </c>
    </row>
    <row r="313" spans="2:6" x14ac:dyDescent="0.35">
      <c r="B313" s="43"/>
      <c r="C313" s="44"/>
      <c r="D313" s="44"/>
      <c r="E313" s="45"/>
      <c r="F313">
        <v>0</v>
      </c>
    </row>
    <row r="314" spans="2:6" x14ac:dyDescent="0.35">
      <c r="B314" s="43"/>
      <c r="C314" s="44"/>
      <c r="D314" s="44"/>
      <c r="E314" s="45"/>
      <c r="F314">
        <v>0</v>
      </c>
    </row>
    <row r="315" spans="2:6" x14ac:dyDescent="0.35">
      <c r="B315" s="43"/>
      <c r="C315" s="44"/>
      <c r="D315" s="44"/>
      <c r="E315" s="45"/>
      <c r="F315">
        <v>0</v>
      </c>
    </row>
    <row r="316" spans="2:6" x14ac:dyDescent="0.35">
      <c r="B316" s="43"/>
      <c r="C316" s="44"/>
      <c r="D316" s="44"/>
      <c r="E316" s="45"/>
      <c r="F316">
        <v>0</v>
      </c>
    </row>
    <row r="317" spans="2:6" x14ac:dyDescent="0.35">
      <c r="B317" s="43"/>
      <c r="C317" s="44"/>
      <c r="D317" s="44"/>
      <c r="E317" s="45"/>
      <c r="F317">
        <v>0</v>
      </c>
    </row>
    <row r="318" spans="2:6" x14ac:dyDescent="0.35">
      <c r="B318" s="43"/>
      <c r="C318" s="44"/>
      <c r="D318" s="44"/>
      <c r="E318" s="45"/>
      <c r="F318">
        <v>0</v>
      </c>
    </row>
    <row r="319" spans="2:6" x14ac:dyDescent="0.35">
      <c r="B319" s="43"/>
      <c r="C319" s="44"/>
      <c r="D319" s="44"/>
      <c r="E319" s="45"/>
      <c r="F319">
        <v>0</v>
      </c>
    </row>
    <row r="320" spans="2:6" x14ac:dyDescent="0.35">
      <c r="B320" s="43"/>
      <c r="C320" s="44"/>
      <c r="D320" s="44"/>
      <c r="E320" s="45"/>
      <c r="F320">
        <v>0</v>
      </c>
    </row>
    <row r="321" spans="2:6" x14ac:dyDescent="0.35">
      <c r="B321" s="43"/>
      <c r="C321" s="44"/>
      <c r="D321" s="44"/>
      <c r="E321" s="45"/>
      <c r="F321">
        <v>0</v>
      </c>
    </row>
    <row r="322" spans="2:6" x14ac:dyDescent="0.35">
      <c r="B322" s="43"/>
      <c r="C322" s="44"/>
      <c r="D322" s="44"/>
      <c r="E322" s="45"/>
      <c r="F322">
        <v>0</v>
      </c>
    </row>
    <row r="323" spans="2:6" x14ac:dyDescent="0.35">
      <c r="B323" s="43"/>
      <c r="C323" s="44"/>
      <c r="D323" s="44"/>
      <c r="E323" s="45"/>
      <c r="F323">
        <v>0</v>
      </c>
    </row>
    <row r="324" spans="2:6" x14ac:dyDescent="0.35">
      <c r="B324" s="43"/>
      <c r="C324" s="44"/>
      <c r="D324" s="44"/>
      <c r="E324" s="45"/>
      <c r="F324">
        <v>0</v>
      </c>
    </row>
    <row r="325" spans="2:6" x14ac:dyDescent="0.35">
      <c r="B325" s="43"/>
      <c r="C325" s="44"/>
      <c r="D325" s="44"/>
      <c r="E325" s="45"/>
      <c r="F325">
        <v>0</v>
      </c>
    </row>
    <row r="326" spans="2:6" x14ac:dyDescent="0.35">
      <c r="B326" s="43"/>
      <c r="C326" s="44"/>
      <c r="D326" s="44"/>
      <c r="E326" s="45"/>
      <c r="F326">
        <v>0</v>
      </c>
    </row>
    <row r="327" spans="2:6" x14ac:dyDescent="0.35">
      <c r="B327" s="43"/>
      <c r="C327" s="44"/>
      <c r="D327" s="44"/>
      <c r="E327" s="45"/>
      <c r="F327">
        <v>0</v>
      </c>
    </row>
    <row r="328" spans="2:6" x14ac:dyDescent="0.35">
      <c r="B328" s="43"/>
      <c r="C328" s="44"/>
      <c r="D328" s="44"/>
      <c r="E328" s="45"/>
      <c r="F328">
        <v>0</v>
      </c>
    </row>
    <row r="329" spans="2:6" x14ac:dyDescent="0.35">
      <c r="B329" s="43"/>
      <c r="C329" s="44"/>
      <c r="D329" s="44"/>
      <c r="E329" s="45"/>
      <c r="F329">
        <v>0</v>
      </c>
    </row>
    <row r="330" spans="2:6" x14ac:dyDescent="0.35">
      <c r="B330" s="43"/>
      <c r="C330" s="44"/>
      <c r="D330" s="44"/>
      <c r="E330" s="45"/>
      <c r="F330">
        <v>0</v>
      </c>
    </row>
    <row r="331" spans="2:6" x14ac:dyDescent="0.35">
      <c r="B331" s="43"/>
      <c r="C331" s="44"/>
      <c r="D331" s="44"/>
      <c r="E331" s="45"/>
      <c r="F331">
        <v>0</v>
      </c>
    </row>
    <row r="332" spans="2:6" x14ac:dyDescent="0.35">
      <c r="B332" s="43"/>
      <c r="C332" s="44"/>
      <c r="D332" s="44"/>
      <c r="E332" s="45"/>
      <c r="F332">
        <v>0</v>
      </c>
    </row>
    <row r="333" spans="2:6" x14ac:dyDescent="0.35">
      <c r="B333" s="43"/>
      <c r="C333" s="44"/>
      <c r="D333" s="44"/>
      <c r="E333" s="45"/>
      <c r="F333">
        <v>0</v>
      </c>
    </row>
    <row r="334" spans="2:6" x14ac:dyDescent="0.35">
      <c r="B334" s="43"/>
      <c r="C334" s="44"/>
      <c r="D334" s="44"/>
      <c r="E334" s="45"/>
      <c r="F334">
        <v>0</v>
      </c>
    </row>
    <row r="335" spans="2:6" x14ac:dyDescent="0.35">
      <c r="B335" s="43"/>
      <c r="C335" s="44"/>
      <c r="D335" s="44"/>
      <c r="E335" s="45"/>
      <c r="F335">
        <v>0</v>
      </c>
    </row>
    <row r="336" spans="2:6" x14ac:dyDescent="0.35">
      <c r="B336" s="43"/>
      <c r="C336" s="44"/>
      <c r="D336" s="44"/>
      <c r="E336" s="45"/>
      <c r="F336">
        <v>0</v>
      </c>
    </row>
    <row r="337" spans="2:6" x14ac:dyDescent="0.35">
      <c r="B337" s="43"/>
      <c r="C337" s="44"/>
      <c r="D337" s="44"/>
      <c r="E337" s="45"/>
      <c r="F337">
        <v>0</v>
      </c>
    </row>
    <row r="338" spans="2:6" x14ac:dyDescent="0.35">
      <c r="B338" s="43"/>
      <c r="C338" s="44"/>
      <c r="D338" s="44"/>
      <c r="E338" s="45"/>
      <c r="F338">
        <v>0</v>
      </c>
    </row>
    <row r="339" spans="2:6" x14ac:dyDescent="0.35">
      <c r="B339" s="43"/>
      <c r="C339" s="44"/>
      <c r="D339" s="44"/>
      <c r="E339" s="45"/>
      <c r="F339">
        <v>0</v>
      </c>
    </row>
    <row r="340" spans="2:6" x14ac:dyDescent="0.35">
      <c r="B340" s="43"/>
      <c r="C340" s="44"/>
      <c r="D340" s="44"/>
      <c r="E340" s="45"/>
      <c r="F340">
        <v>0</v>
      </c>
    </row>
    <row r="341" spans="2:6" x14ac:dyDescent="0.35">
      <c r="B341" s="43"/>
      <c r="C341" s="44"/>
      <c r="D341" s="44"/>
      <c r="E341" s="45"/>
      <c r="F341">
        <v>0</v>
      </c>
    </row>
    <row r="342" spans="2:6" x14ac:dyDescent="0.35">
      <c r="B342" s="43"/>
      <c r="C342" s="44"/>
      <c r="D342" s="44"/>
      <c r="E342" s="45"/>
      <c r="F342">
        <v>0</v>
      </c>
    </row>
    <row r="343" spans="2:6" x14ac:dyDescent="0.35">
      <c r="B343" s="43"/>
      <c r="C343" s="44"/>
      <c r="D343" s="44"/>
      <c r="E343" s="45"/>
      <c r="F343">
        <v>0</v>
      </c>
    </row>
    <row r="344" spans="2:6" x14ac:dyDescent="0.35">
      <c r="B344" s="43"/>
      <c r="C344" s="44"/>
      <c r="D344" s="44"/>
      <c r="E344" s="45"/>
      <c r="F344">
        <v>0</v>
      </c>
    </row>
    <row r="345" spans="2:6" x14ac:dyDescent="0.35">
      <c r="B345" s="43"/>
      <c r="C345" s="44"/>
      <c r="D345" s="44"/>
      <c r="E345" s="45"/>
      <c r="F345">
        <v>0</v>
      </c>
    </row>
    <row r="346" spans="2:6" x14ac:dyDescent="0.35">
      <c r="B346" s="43"/>
      <c r="C346" s="44"/>
      <c r="D346" s="44"/>
      <c r="E346" s="45"/>
      <c r="F346">
        <v>0</v>
      </c>
    </row>
    <row r="347" spans="2:6" x14ac:dyDescent="0.35">
      <c r="B347" s="43"/>
      <c r="C347" s="44"/>
      <c r="D347" s="44"/>
      <c r="E347" s="45"/>
      <c r="F347">
        <v>0</v>
      </c>
    </row>
    <row r="348" spans="2:6" x14ac:dyDescent="0.35">
      <c r="B348" s="43"/>
      <c r="C348" s="44"/>
      <c r="D348" s="44"/>
      <c r="E348" s="45"/>
      <c r="F348">
        <v>0</v>
      </c>
    </row>
    <row r="349" spans="2:6" x14ac:dyDescent="0.35">
      <c r="B349" s="43"/>
      <c r="C349" s="44"/>
      <c r="D349" s="44"/>
      <c r="E349" s="45"/>
      <c r="F349">
        <v>0</v>
      </c>
    </row>
    <row r="350" spans="2:6" x14ac:dyDescent="0.35">
      <c r="B350" s="43"/>
      <c r="C350" s="44"/>
      <c r="D350" s="44"/>
      <c r="E350" s="45"/>
      <c r="F350">
        <v>0</v>
      </c>
    </row>
    <row r="351" spans="2:6" x14ac:dyDescent="0.35">
      <c r="B351" s="43"/>
      <c r="C351" s="44"/>
      <c r="D351" s="44"/>
      <c r="E351" s="45"/>
      <c r="F351">
        <v>0</v>
      </c>
    </row>
    <row r="352" spans="2:6" x14ac:dyDescent="0.35">
      <c r="B352" s="43"/>
      <c r="C352" s="44"/>
      <c r="D352" s="44"/>
      <c r="E352" s="45"/>
      <c r="F352">
        <v>0</v>
      </c>
    </row>
    <row r="353" spans="2:6" x14ac:dyDescent="0.35">
      <c r="B353" s="43"/>
      <c r="C353" s="44"/>
      <c r="D353" s="44"/>
      <c r="E353" s="45"/>
      <c r="F353">
        <v>0</v>
      </c>
    </row>
    <row r="354" spans="2:6" x14ac:dyDescent="0.35">
      <c r="B354" s="43"/>
      <c r="C354" s="44"/>
      <c r="D354" s="44"/>
      <c r="E354" s="45"/>
      <c r="F354">
        <v>0</v>
      </c>
    </row>
    <row r="355" spans="2:6" x14ac:dyDescent="0.35">
      <c r="B355" s="43"/>
      <c r="C355" s="44"/>
      <c r="D355" s="44"/>
      <c r="E355" s="45"/>
      <c r="F355">
        <v>0</v>
      </c>
    </row>
    <row r="356" spans="2:6" x14ac:dyDescent="0.35">
      <c r="B356" s="43"/>
      <c r="C356" s="44"/>
      <c r="D356" s="44"/>
      <c r="E356" s="45"/>
      <c r="F356">
        <v>0</v>
      </c>
    </row>
    <row r="357" spans="2:6" x14ac:dyDescent="0.35">
      <c r="B357" s="43"/>
      <c r="C357" s="44"/>
      <c r="D357" s="44"/>
      <c r="E357" s="45"/>
      <c r="F357">
        <v>0</v>
      </c>
    </row>
    <row r="358" spans="2:6" x14ac:dyDescent="0.35">
      <c r="B358" s="43"/>
      <c r="C358" s="44"/>
      <c r="D358" s="44"/>
      <c r="E358" s="45"/>
      <c r="F358">
        <v>0</v>
      </c>
    </row>
    <row r="359" spans="2:6" x14ac:dyDescent="0.35">
      <c r="B359" s="43"/>
      <c r="C359" s="44"/>
      <c r="D359" s="44"/>
      <c r="E359" s="45"/>
      <c r="F359">
        <v>0</v>
      </c>
    </row>
    <row r="360" spans="2:6" x14ac:dyDescent="0.35">
      <c r="B360" s="43"/>
      <c r="C360" s="44"/>
      <c r="D360" s="44"/>
      <c r="E360" s="45"/>
      <c r="F360">
        <v>0</v>
      </c>
    </row>
    <row r="361" spans="2:6" x14ac:dyDescent="0.35">
      <c r="B361" s="43"/>
      <c r="C361" s="44"/>
      <c r="D361" s="44"/>
      <c r="E361" s="45"/>
      <c r="F361">
        <v>0</v>
      </c>
    </row>
    <row r="362" spans="2:6" x14ac:dyDescent="0.35">
      <c r="B362" s="43"/>
      <c r="C362" s="44"/>
      <c r="D362" s="44"/>
      <c r="E362" s="45"/>
      <c r="F362">
        <v>0</v>
      </c>
    </row>
    <row r="363" spans="2:6" x14ac:dyDescent="0.35">
      <c r="B363" s="43"/>
      <c r="C363" s="44"/>
      <c r="D363" s="44"/>
      <c r="E363" s="45"/>
      <c r="F363">
        <v>0</v>
      </c>
    </row>
    <row r="364" spans="2:6" x14ac:dyDescent="0.35">
      <c r="B364" s="43"/>
      <c r="C364" s="44"/>
      <c r="D364" s="44"/>
      <c r="E364" s="45"/>
      <c r="F364">
        <v>0</v>
      </c>
    </row>
    <row r="365" spans="2:6" x14ac:dyDescent="0.35">
      <c r="B365" s="43"/>
      <c r="C365" s="44"/>
      <c r="D365" s="44"/>
      <c r="E365" s="45"/>
      <c r="F365">
        <v>0</v>
      </c>
    </row>
    <row r="366" spans="2:6" x14ac:dyDescent="0.35">
      <c r="B366" s="43"/>
      <c r="C366" s="44"/>
      <c r="D366" s="44"/>
      <c r="E366" s="45"/>
      <c r="F366">
        <v>0</v>
      </c>
    </row>
    <row r="367" spans="2:6" x14ac:dyDescent="0.35">
      <c r="B367" s="43"/>
      <c r="C367" s="44"/>
      <c r="D367" s="44"/>
      <c r="E367" s="45"/>
      <c r="F367">
        <v>0</v>
      </c>
    </row>
    <row r="368" spans="2:6" x14ac:dyDescent="0.35">
      <c r="B368" s="43"/>
      <c r="C368" s="44"/>
      <c r="D368" s="44"/>
      <c r="E368" s="45"/>
      <c r="F368">
        <v>0</v>
      </c>
    </row>
    <row r="369" spans="2:6" x14ac:dyDescent="0.35">
      <c r="B369" s="43"/>
      <c r="C369" s="44"/>
      <c r="D369" s="44"/>
      <c r="E369" s="45"/>
      <c r="F369">
        <v>0</v>
      </c>
    </row>
    <row r="370" spans="2:6" x14ac:dyDescent="0.35">
      <c r="B370" s="43"/>
      <c r="C370" s="44"/>
      <c r="D370" s="44"/>
      <c r="E370" s="45"/>
      <c r="F370">
        <v>0</v>
      </c>
    </row>
    <row r="371" spans="2:6" x14ac:dyDescent="0.35">
      <c r="B371" s="43"/>
      <c r="C371" s="44"/>
      <c r="D371" s="44"/>
      <c r="E371" s="45"/>
      <c r="F371">
        <v>0</v>
      </c>
    </row>
    <row r="372" spans="2:6" x14ac:dyDescent="0.35">
      <c r="B372" s="43"/>
      <c r="C372" s="44"/>
      <c r="D372" s="44"/>
      <c r="E372" s="45"/>
      <c r="F372">
        <v>0</v>
      </c>
    </row>
    <row r="373" spans="2:6" x14ac:dyDescent="0.35">
      <c r="B373" s="43"/>
      <c r="C373" s="44"/>
      <c r="D373" s="44"/>
      <c r="E373" s="45"/>
      <c r="F373">
        <v>0</v>
      </c>
    </row>
    <row r="374" spans="2:6" x14ac:dyDescent="0.35">
      <c r="B374" s="43"/>
      <c r="C374" s="44"/>
      <c r="D374" s="44"/>
      <c r="E374" s="45"/>
      <c r="F374">
        <v>0</v>
      </c>
    </row>
    <row r="375" spans="2:6" x14ac:dyDescent="0.35">
      <c r="B375" s="43"/>
      <c r="C375" s="44"/>
      <c r="D375" s="44"/>
      <c r="E375" s="45"/>
      <c r="F375">
        <v>0</v>
      </c>
    </row>
    <row r="376" spans="2:6" x14ac:dyDescent="0.35">
      <c r="B376" s="43"/>
      <c r="C376" s="44"/>
      <c r="D376" s="44"/>
      <c r="E376" s="45"/>
      <c r="F376">
        <v>0</v>
      </c>
    </row>
    <row r="377" spans="2:6" x14ac:dyDescent="0.35">
      <c r="B377" s="43"/>
      <c r="C377" s="44"/>
      <c r="D377" s="44"/>
      <c r="E377" s="45"/>
      <c r="F377">
        <v>0</v>
      </c>
    </row>
    <row r="378" spans="2:6" x14ac:dyDescent="0.35">
      <c r="B378" s="43"/>
      <c r="C378" s="44"/>
      <c r="D378" s="44"/>
      <c r="E378" s="45"/>
      <c r="F378">
        <v>0</v>
      </c>
    </row>
    <row r="379" spans="2:6" x14ac:dyDescent="0.35">
      <c r="B379" s="43"/>
      <c r="C379" s="44"/>
      <c r="D379" s="44"/>
      <c r="E379" s="45"/>
      <c r="F379">
        <v>0</v>
      </c>
    </row>
    <row r="380" spans="2:6" x14ac:dyDescent="0.35">
      <c r="B380" s="43"/>
      <c r="C380" s="44"/>
      <c r="D380" s="44"/>
      <c r="E380" s="45"/>
      <c r="F380">
        <v>0</v>
      </c>
    </row>
    <row r="381" spans="2:6" x14ac:dyDescent="0.35">
      <c r="B381" s="43"/>
      <c r="C381" s="44"/>
      <c r="D381" s="44"/>
      <c r="E381" s="45"/>
      <c r="F381">
        <v>0</v>
      </c>
    </row>
    <row r="382" spans="2:6" x14ac:dyDescent="0.35">
      <c r="B382" s="43"/>
      <c r="C382" s="44"/>
      <c r="D382" s="44"/>
      <c r="E382" s="45"/>
      <c r="F382">
        <v>0</v>
      </c>
    </row>
    <row r="383" spans="2:6" x14ac:dyDescent="0.35">
      <c r="B383" s="43"/>
      <c r="C383" s="44"/>
      <c r="D383" s="44"/>
      <c r="E383" s="45"/>
      <c r="F383">
        <v>0</v>
      </c>
    </row>
    <row r="384" spans="2:6" x14ac:dyDescent="0.35">
      <c r="B384" s="43"/>
      <c r="C384" s="44"/>
      <c r="D384" s="44"/>
      <c r="E384" s="45"/>
      <c r="F384">
        <v>0</v>
      </c>
    </row>
    <row r="385" spans="2:6" x14ac:dyDescent="0.35">
      <c r="B385" s="43"/>
      <c r="C385" s="44"/>
      <c r="D385" s="44"/>
      <c r="E385" s="45"/>
      <c r="F385">
        <v>0</v>
      </c>
    </row>
    <row r="386" spans="2:6" x14ac:dyDescent="0.35">
      <c r="B386" s="43"/>
      <c r="C386" s="44"/>
      <c r="D386" s="44"/>
      <c r="E386" s="45"/>
      <c r="F386">
        <v>0</v>
      </c>
    </row>
    <row r="387" spans="2:6" x14ac:dyDescent="0.35">
      <c r="B387" s="43"/>
      <c r="C387" s="44"/>
      <c r="D387" s="44"/>
      <c r="E387" s="45"/>
      <c r="F387">
        <v>0</v>
      </c>
    </row>
    <row r="388" spans="2:6" x14ac:dyDescent="0.35">
      <c r="B388" s="43"/>
      <c r="C388" s="44"/>
      <c r="D388" s="44"/>
      <c r="E388" s="45"/>
      <c r="F388">
        <v>0</v>
      </c>
    </row>
    <row r="389" spans="2:6" x14ac:dyDescent="0.35">
      <c r="B389" s="43"/>
      <c r="C389" s="44"/>
      <c r="D389" s="44"/>
      <c r="E389" s="45"/>
      <c r="F389">
        <v>0</v>
      </c>
    </row>
    <row r="390" spans="2:6" x14ac:dyDescent="0.35">
      <c r="B390" s="43"/>
      <c r="C390" s="44"/>
      <c r="D390" s="44"/>
      <c r="E390" s="45"/>
      <c r="F390">
        <v>0</v>
      </c>
    </row>
    <row r="391" spans="2:6" x14ac:dyDescent="0.35">
      <c r="B391" s="43"/>
      <c r="C391" s="44"/>
      <c r="D391" s="44"/>
      <c r="E391" s="45"/>
      <c r="F391">
        <v>0</v>
      </c>
    </row>
    <row r="392" spans="2:6" x14ac:dyDescent="0.35">
      <c r="B392" s="43"/>
      <c r="C392" s="44"/>
      <c r="D392" s="44"/>
      <c r="E392" s="45"/>
      <c r="F392">
        <v>0</v>
      </c>
    </row>
    <row r="393" spans="2:6" x14ac:dyDescent="0.35">
      <c r="B393" s="43"/>
      <c r="C393" s="44"/>
      <c r="D393" s="44"/>
      <c r="E393" s="45"/>
      <c r="F393">
        <v>0</v>
      </c>
    </row>
    <row r="394" spans="2:6" x14ac:dyDescent="0.35">
      <c r="B394" s="43"/>
      <c r="C394" s="44"/>
      <c r="D394" s="44"/>
      <c r="E394" s="45"/>
      <c r="F394">
        <v>0</v>
      </c>
    </row>
    <row r="395" spans="2:6" x14ac:dyDescent="0.35">
      <c r="B395" s="43"/>
      <c r="C395" s="44"/>
      <c r="D395" s="44"/>
      <c r="E395" s="45"/>
      <c r="F395">
        <v>0</v>
      </c>
    </row>
    <row r="396" spans="2:6" x14ac:dyDescent="0.35">
      <c r="B396" s="43"/>
      <c r="C396" s="44"/>
      <c r="D396" s="44"/>
      <c r="E396" s="45"/>
      <c r="F396">
        <v>0</v>
      </c>
    </row>
    <row r="397" spans="2:6" x14ac:dyDescent="0.35">
      <c r="B397" s="43"/>
      <c r="C397" s="44"/>
      <c r="D397" s="44"/>
      <c r="E397" s="45"/>
      <c r="F397">
        <v>0</v>
      </c>
    </row>
    <row r="398" spans="2:6" x14ac:dyDescent="0.35">
      <c r="B398" s="43"/>
      <c r="C398" s="44"/>
      <c r="D398" s="44"/>
      <c r="E398" s="45"/>
      <c r="F398">
        <v>0</v>
      </c>
    </row>
    <row r="399" spans="2:6" x14ac:dyDescent="0.35">
      <c r="B399" s="43"/>
      <c r="C399" s="44"/>
      <c r="D399" s="44"/>
      <c r="E399" s="45"/>
      <c r="F399">
        <v>0</v>
      </c>
    </row>
    <row r="400" spans="2:6" x14ac:dyDescent="0.35">
      <c r="B400" s="43"/>
      <c r="C400" s="44"/>
      <c r="D400" s="44"/>
      <c r="E400" s="45"/>
      <c r="F400">
        <v>0</v>
      </c>
    </row>
    <row r="401" spans="2:6" x14ac:dyDescent="0.35">
      <c r="B401" s="43"/>
      <c r="C401" s="44"/>
      <c r="D401" s="44"/>
      <c r="E401" s="45"/>
      <c r="F401">
        <v>0</v>
      </c>
    </row>
    <row r="402" spans="2:6" x14ac:dyDescent="0.35">
      <c r="B402" s="43"/>
      <c r="C402" s="44"/>
      <c r="D402" s="44"/>
      <c r="E402" s="45"/>
      <c r="F402">
        <v>0</v>
      </c>
    </row>
    <row r="403" spans="2:6" x14ac:dyDescent="0.35">
      <c r="B403" s="43"/>
      <c r="C403" s="44"/>
      <c r="D403" s="44"/>
      <c r="E403" s="45"/>
      <c r="F403">
        <v>0</v>
      </c>
    </row>
    <row r="404" spans="2:6" x14ac:dyDescent="0.35">
      <c r="B404" s="43"/>
      <c r="C404" s="44"/>
      <c r="D404" s="44"/>
      <c r="E404" s="45"/>
      <c r="F404">
        <v>0</v>
      </c>
    </row>
    <row r="405" spans="2:6" x14ac:dyDescent="0.35">
      <c r="B405" s="43"/>
      <c r="C405" s="44"/>
      <c r="D405" s="44"/>
      <c r="E405" s="45"/>
      <c r="F405">
        <v>0</v>
      </c>
    </row>
    <row r="406" spans="2:6" x14ac:dyDescent="0.35">
      <c r="B406" s="43"/>
      <c r="C406" s="44"/>
      <c r="D406" s="44"/>
      <c r="E406" s="45"/>
      <c r="F406">
        <v>0</v>
      </c>
    </row>
    <row r="407" spans="2:6" x14ac:dyDescent="0.35">
      <c r="B407" s="43"/>
      <c r="C407" s="44"/>
      <c r="D407" s="44"/>
      <c r="E407" s="45"/>
      <c r="F407">
        <v>0</v>
      </c>
    </row>
    <row r="408" spans="2:6" x14ac:dyDescent="0.35">
      <c r="B408" s="43"/>
      <c r="C408" s="44"/>
      <c r="D408" s="44"/>
      <c r="E408" s="45"/>
      <c r="F408">
        <v>0</v>
      </c>
    </row>
    <row r="409" spans="2:6" x14ac:dyDescent="0.35">
      <c r="B409" s="43"/>
      <c r="C409" s="44"/>
      <c r="D409" s="44"/>
      <c r="E409" s="45"/>
      <c r="F409">
        <v>0</v>
      </c>
    </row>
    <row r="410" spans="2:6" x14ac:dyDescent="0.35">
      <c r="B410" s="43"/>
      <c r="C410" s="44"/>
      <c r="D410" s="44"/>
      <c r="E410" s="45"/>
      <c r="F410">
        <v>0</v>
      </c>
    </row>
    <row r="411" spans="2:6" x14ac:dyDescent="0.35">
      <c r="B411" s="43"/>
      <c r="C411" s="44"/>
      <c r="D411" s="44"/>
      <c r="E411" s="45"/>
      <c r="F411">
        <v>0</v>
      </c>
    </row>
    <row r="412" spans="2:6" x14ac:dyDescent="0.35">
      <c r="B412" s="43"/>
      <c r="C412" s="44"/>
      <c r="D412" s="44"/>
      <c r="E412" s="45"/>
      <c r="F412">
        <v>0</v>
      </c>
    </row>
    <row r="413" spans="2:6" x14ac:dyDescent="0.35">
      <c r="B413" s="43"/>
      <c r="C413" s="44"/>
      <c r="D413" s="44"/>
      <c r="E413" s="45"/>
      <c r="F413">
        <v>0</v>
      </c>
    </row>
    <row r="414" spans="2:6" x14ac:dyDescent="0.35">
      <c r="B414" s="43"/>
      <c r="C414" s="44"/>
      <c r="D414" s="44"/>
      <c r="E414" s="45"/>
      <c r="F414">
        <v>0</v>
      </c>
    </row>
    <row r="415" spans="2:6" x14ac:dyDescent="0.35">
      <c r="B415" s="43"/>
      <c r="C415" s="44"/>
      <c r="D415" s="44"/>
      <c r="E415" s="45"/>
      <c r="F415">
        <v>0</v>
      </c>
    </row>
    <row r="416" spans="2:6" x14ac:dyDescent="0.35">
      <c r="B416" s="43"/>
      <c r="C416" s="44"/>
      <c r="D416" s="44"/>
      <c r="E416" s="45"/>
      <c r="F416">
        <v>0</v>
      </c>
    </row>
    <row r="417" spans="2:6" x14ac:dyDescent="0.35">
      <c r="B417" s="43"/>
      <c r="C417" s="44"/>
      <c r="D417" s="44"/>
      <c r="E417" s="45"/>
      <c r="F417">
        <v>0</v>
      </c>
    </row>
    <row r="418" spans="2:6" x14ac:dyDescent="0.35">
      <c r="B418" s="43"/>
      <c r="C418" s="44"/>
      <c r="D418" s="44"/>
      <c r="E418" s="45"/>
      <c r="F418">
        <v>0</v>
      </c>
    </row>
    <row r="419" spans="2:6" x14ac:dyDescent="0.35">
      <c r="B419" s="43"/>
      <c r="C419" s="44"/>
      <c r="D419" s="44"/>
      <c r="E419" s="45"/>
      <c r="F419">
        <v>0</v>
      </c>
    </row>
    <row r="420" spans="2:6" x14ac:dyDescent="0.35">
      <c r="B420" s="43"/>
      <c r="C420" s="44"/>
      <c r="D420" s="44"/>
      <c r="E420" s="45"/>
      <c r="F420">
        <v>0</v>
      </c>
    </row>
    <row r="421" spans="2:6" x14ac:dyDescent="0.35">
      <c r="B421" s="43"/>
      <c r="C421" s="44"/>
      <c r="D421" s="44"/>
      <c r="E421" s="45"/>
      <c r="F421">
        <v>0</v>
      </c>
    </row>
    <row r="422" spans="2:6" x14ac:dyDescent="0.35">
      <c r="B422" s="43"/>
      <c r="C422" s="44"/>
      <c r="D422" s="44"/>
      <c r="E422" s="45"/>
      <c r="F422">
        <v>0</v>
      </c>
    </row>
    <row r="423" spans="2:6" x14ac:dyDescent="0.35">
      <c r="B423" s="43"/>
      <c r="C423" s="44"/>
      <c r="D423" s="44"/>
      <c r="E423" s="45"/>
      <c r="F423">
        <v>0</v>
      </c>
    </row>
    <row r="424" spans="2:6" x14ac:dyDescent="0.35">
      <c r="B424" s="43"/>
      <c r="C424" s="44"/>
      <c r="D424" s="44"/>
      <c r="E424" s="45"/>
      <c r="F424">
        <v>0</v>
      </c>
    </row>
    <row r="425" spans="2:6" x14ac:dyDescent="0.35">
      <c r="B425" s="43"/>
      <c r="C425" s="44"/>
      <c r="D425" s="44"/>
      <c r="E425" s="45"/>
      <c r="F425">
        <v>0</v>
      </c>
    </row>
    <row r="426" spans="2:6" x14ac:dyDescent="0.35">
      <c r="B426" s="43"/>
      <c r="C426" s="44"/>
      <c r="D426" s="44"/>
      <c r="E426" s="45"/>
      <c r="F426">
        <v>0</v>
      </c>
    </row>
    <row r="427" spans="2:6" x14ac:dyDescent="0.35">
      <c r="B427" s="43"/>
      <c r="C427" s="44"/>
      <c r="D427" s="44"/>
      <c r="E427" s="45"/>
      <c r="F427">
        <v>0</v>
      </c>
    </row>
    <row r="428" spans="2:6" x14ac:dyDescent="0.35">
      <c r="B428" s="43"/>
      <c r="C428" s="44"/>
      <c r="D428" s="44"/>
      <c r="E428" s="45"/>
      <c r="F428">
        <v>0</v>
      </c>
    </row>
    <row r="429" spans="2:6" x14ac:dyDescent="0.35">
      <c r="B429" s="43"/>
      <c r="C429" s="44"/>
      <c r="D429" s="44"/>
      <c r="E429" s="45"/>
      <c r="F429">
        <v>0</v>
      </c>
    </row>
    <row r="430" spans="2:6" x14ac:dyDescent="0.35">
      <c r="B430" s="43"/>
      <c r="C430" s="44"/>
      <c r="D430" s="44"/>
      <c r="E430" s="45"/>
      <c r="F430">
        <v>0</v>
      </c>
    </row>
    <row r="431" spans="2:6" x14ac:dyDescent="0.35">
      <c r="B431" s="43"/>
      <c r="C431" s="44"/>
      <c r="D431" s="44"/>
      <c r="E431" s="45"/>
      <c r="F431">
        <v>0</v>
      </c>
    </row>
    <row r="432" spans="2:6" x14ac:dyDescent="0.35">
      <c r="B432" s="43"/>
      <c r="C432" s="44"/>
      <c r="D432" s="44"/>
      <c r="E432" s="45"/>
      <c r="F432">
        <v>0</v>
      </c>
    </row>
    <row r="433" spans="2:6" x14ac:dyDescent="0.35">
      <c r="B433" s="43"/>
      <c r="C433" s="44"/>
      <c r="D433" s="44"/>
      <c r="E433" s="45"/>
      <c r="F433">
        <v>0</v>
      </c>
    </row>
    <row r="434" spans="2:6" x14ac:dyDescent="0.35">
      <c r="B434" s="43"/>
      <c r="C434" s="44"/>
      <c r="D434" s="44"/>
      <c r="E434" s="45"/>
      <c r="F434">
        <v>0</v>
      </c>
    </row>
    <row r="435" spans="2:6" x14ac:dyDescent="0.35">
      <c r="B435" s="43"/>
      <c r="C435" s="44"/>
      <c r="D435" s="44"/>
      <c r="E435" s="45"/>
      <c r="F435">
        <v>0</v>
      </c>
    </row>
    <row r="436" spans="2:6" x14ac:dyDescent="0.35">
      <c r="B436" s="43"/>
      <c r="C436" s="44"/>
      <c r="D436" s="44"/>
      <c r="E436" s="45"/>
      <c r="F436">
        <v>0</v>
      </c>
    </row>
    <row r="437" spans="2:6" x14ac:dyDescent="0.35">
      <c r="B437" s="43"/>
      <c r="C437" s="44"/>
      <c r="D437" s="44"/>
      <c r="E437" s="45"/>
      <c r="F437">
        <v>0</v>
      </c>
    </row>
    <row r="438" spans="2:6" x14ac:dyDescent="0.35">
      <c r="B438" s="43"/>
      <c r="C438" s="44"/>
      <c r="D438" s="44"/>
      <c r="E438" s="45"/>
      <c r="F438">
        <v>0</v>
      </c>
    </row>
    <row r="439" spans="2:6" x14ac:dyDescent="0.35">
      <c r="B439" s="43"/>
      <c r="C439" s="44"/>
      <c r="D439" s="44"/>
      <c r="E439" s="45"/>
      <c r="F439">
        <v>0</v>
      </c>
    </row>
    <row r="440" spans="2:6" x14ac:dyDescent="0.35">
      <c r="B440" s="43"/>
      <c r="C440" s="44"/>
      <c r="D440" s="44"/>
      <c r="E440" s="45"/>
      <c r="F440">
        <v>0</v>
      </c>
    </row>
    <row r="441" spans="2:6" x14ac:dyDescent="0.35">
      <c r="B441" s="43"/>
      <c r="C441" s="44"/>
      <c r="D441" s="44"/>
      <c r="E441" s="45"/>
      <c r="F441">
        <v>0</v>
      </c>
    </row>
    <row r="442" spans="2:6" x14ac:dyDescent="0.35">
      <c r="B442" s="43"/>
      <c r="C442" s="44"/>
      <c r="D442" s="44"/>
      <c r="E442" s="45"/>
      <c r="F442">
        <v>0</v>
      </c>
    </row>
    <row r="443" spans="2:6" x14ac:dyDescent="0.35">
      <c r="B443" s="43"/>
      <c r="C443" s="44"/>
      <c r="D443" s="44"/>
      <c r="E443" s="45"/>
      <c r="F443">
        <v>0</v>
      </c>
    </row>
    <row r="444" spans="2:6" x14ac:dyDescent="0.35">
      <c r="B444" s="43"/>
      <c r="C444" s="44"/>
      <c r="D444" s="44"/>
      <c r="E444" s="45"/>
      <c r="F444">
        <v>0</v>
      </c>
    </row>
    <row r="445" spans="2:6" x14ac:dyDescent="0.35">
      <c r="B445" s="43"/>
      <c r="C445" s="44"/>
      <c r="D445" s="44"/>
      <c r="E445" s="45"/>
      <c r="F445">
        <v>0</v>
      </c>
    </row>
    <row r="446" spans="2:6" x14ac:dyDescent="0.35">
      <c r="B446" s="43"/>
      <c r="C446" s="44"/>
      <c r="D446" s="44"/>
      <c r="E446" s="45"/>
      <c r="F446">
        <v>0</v>
      </c>
    </row>
    <row r="447" spans="2:6" x14ac:dyDescent="0.35">
      <c r="B447" s="43"/>
      <c r="C447" s="44"/>
      <c r="D447" s="44"/>
      <c r="E447" s="45"/>
      <c r="F447">
        <v>0</v>
      </c>
    </row>
    <row r="448" spans="2:6" x14ac:dyDescent="0.35">
      <c r="B448" s="43"/>
      <c r="C448" s="44"/>
      <c r="D448" s="44"/>
      <c r="E448" s="45"/>
      <c r="F448">
        <v>0</v>
      </c>
    </row>
    <row r="449" spans="2:6" x14ac:dyDescent="0.35">
      <c r="B449" s="43"/>
      <c r="C449" s="44"/>
      <c r="D449" s="44"/>
      <c r="E449" s="45"/>
      <c r="F449">
        <v>0</v>
      </c>
    </row>
    <row r="450" spans="2:6" x14ac:dyDescent="0.35">
      <c r="B450" s="43"/>
      <c r="C450" s="44"/>
      <c r="D450" s="44"/>
      <c r="E450" s="45"/>
      <c r="F450">
        <v>0</v>
      </c>
    </row>
    <row r="451" spans="2:6" x14ac:dyDescent="0.35">
      <c r="B451" s="43"/>
      <c r="C451" s="44"/>
      <c r="D451" s="44"/>
      <c r="E451" s="45"/>
      <c r="F451">
        <v>0</v>
      </c>
    </row>
    <row r="452" spans="2:6" x14ac:dyDescent="0.35">
      <c r="B452" s="43"/>
      <c r="C452" s="44"/>
      <c r="D452" s="44"/>
      <c r="E452" s="45"/>
      <c r="F452">
        <v>0</v>
      </c>
    </row>
    <row r="453" spans="2:6" x14ac:dyDescent="0.35">
      <c r="B453" s="43"/>
      <c r="C453" s="44"/>
      <c r="D453" s="44"/>
      <c r="E453" s="45"/>
      <c r="F453">
        <v>0</v>
      </c>
    </row>
    <row r="454" spans="2:6" x14ac:dyDescent="0.35">
      <c r="B454" s="43"/>
      <c r="C454" s="44"/>
      <c r="D454" s="44"/>
      <c r="E454" s="45"/>
      <c r="F454">
        <v>0</v>
      </c>
    </row>
    <row r="455" spans="2:6" x14ac:dyDescent="0.35">
      <c r="B455" s="43"/>
      <c r="C455" s="44"/>
      <c r="D455" s="44"/>
      <c r="E455" s="45"/>
      <c r="F455">
        <v>0</v>
      </c>
    </row>
    <row r="456" spans="2:6" x14ac:dyDescent="0.35">
      <c r="B456" s="43"/>
      <c r="C456" s="44"/>
      <c r="D456" s="44"/>
      <c r="E456" s="45"/>
      <c r="F456">
        <v>0</v>
      </c>
    </row>
    <row r="457" spans="2:6" x14ac:dyDescent="0.35">
      <c r="B457" s="43"/>
      <c r="C457" s="44"/>
      <c r="D457" s="44"/>
      <c r="E457" s="45"/>
      <c r="F457">
        <v>0</v>
      </c>
    </row>
    <row r="458" spans="2:6" x14ac:dyDescent="0.35">
      <c r="B458" s="43"/>
      <c r="C458" s="44"/>
      <c r="D458" s="44"/>
      <c r="E458" s="45"/>
      <c r="F458">
        <v>0</v>
      </c>
    </row>
    <row r="459" spans="2:6" x14ac:dyDescent="0.35">
      <c r="B459" s="43"/>
      <c r="C459" s="44"/>
      <c r="D459" s="44"/>
      <c r="E459" s="45"/>
      <c r="F459">
        <v>0</v>
      </c>
    </row>
    <row r="460" spans="2:6" x14ac:dyDescent="0.35">
      <c r="B460" s="43"/>
      <c r="C460" s="44"/>
      <c r="D460" s="44"/>
      <c r="E460" s="45"/>
      <c r="F460">
        <v>0</v>
      </c>
    </row>
    <row r="461" spans="2:6" x14ac:dyDescent="0.35">
      <c r="B461" s="43"/>
      <c r="C461" s="44"/>
      <c r="D461" s="44"/>
      <c r="E461" s="45"/>
      <c r="F461">
        <v>0</v>
      </c>
    </row>
    <row r="462" spans="2:6" x14ac:dyDescent="0.35">
      <c r="B462" s="43"/>
      <c r="C462" s="44"/>
      <c r="D462" s="44"/>
      <c r="E462" s="45"/>
      <c r="F462">
        <v>0</v>
      </c>
    </row>
    <row r="463" spans="2:6" x14ac:dyDescent="0.35">
      <c r="B463" s="43"/>
      <c r="C463" s="44"/>
      <c r="D463" s="44"/>
      <c r="E463" s="45"/>
      <c r="F463">
        <v>0</v>
      </c>
    </row>
    <row r="464" spans="2:6" x14ac:dyDescent="0.35">
      <c r="B464" s="43"/>
      <c r="C464" s="44"/>
      <c r="D464" s="44"/>
      <c r="E464" s="45"/>
      <c r="F464">
        <v>0</v>
      </c>
    </row>
    <row r="465" spans="2:6" x14ac:dyDescent="0.35">
      <c r="B465" s="43"/>
      <c r="C465" s="44"/>
      <c r="D465" s="44"/>
      <c r="E465" s="45"/>
      <c r="F465">
        <v>0</v>
      </c>
    </row>
    <row r="466" spans="2:6" x14ac:dyDescent="0.35">
      <c r="B466" s="43"/>
      <c r="C466" s="44"/>
      <c r="D466" s="44"/>
      <c r="E466" s="45"/>
      <c r="F466">
        <v>0</v>
      </c>
    </row>
    <row r="467" spans="2:6" x14ac:dyDescent="0.35">
      <c r="B467" s="43"/>
      <c r="C467" s="44"/>
      <c r="D467" s="44"/>
      <c r="E467" s="45"/>
      <c r="F467">
        <v>0</v>
      </c>
    </row>
    <row r="468" spans="2:6" x14ac:dyDescent="0.35">
      <c r="B468" s="43"/>
      <c r="C468" s="44"/>
      <c r="D468" s="44"/>
      <c r="E468" s="45"/>
      <c r="F468">
        <v>0</v>
      </c>
    </row>
    <row r="469" spans="2:6" x14ac:dyDescent="0.35">
      <c r="B469" s="43"/>
      <c r="C469" s="44"/>
      <c r="D469" s="44"/>
      <c r="E469" s="45"/>
      <c r="F469">
        <v>0</v>
      </c>
    </row>
    <row r="470" spans="2:6" x14ac:dyDescent="0.35">
      <c r="B470" s="43"/>
      <c r="C470" s="44"/>
      <c r="D470" s="44"/>
      <c r="E470" s="45"/>
      <c r="F470">
        <v>0</v>
      </c>
    </row>
    <row r="471" spans="2:6" x14ac:dyDescent="0.35">
      <c r="B471" s="43"/>
      <c r="C471" s="44"/>
      <c r="D471" s="44"/>
      <c r="E471" s="45"/>
      <c r="F471">
        <v>0</v>
      </c>
    </row>
    <row r="472" spans="2:6" x14ac:dyDescent="0.35">
      <c r="B472" s="43"/>
      <c r="C472" s="44"/>
      <c r="D472" s="44"/>
      <c r="E472" s="45"/>
      <c r="F472">
        <v>0</v>
      </c>
    </row>
    <row r="473" spans="2:6" x14ac:dyDescent="0.35">
      <c r="B473" s="43"/>
      <c r="C473" s="44"/>
      <c r="D473" s="44"/>
      <c r="E473" s="45"/>
      <c r="F473">
        <v>0</v>
      </c>
    </row>
    <row r="474" spans="2:6" x14ac:dyDescent="0.35">
      <c r="B474" s="43"/>
      <c r="C474" s="44"/>
      <c r="D474" s="44"/>
      <c r="E474" s="45"/>
      <c r="F474">
        <v>0</v>
      </c>
    </row>
    <row r="475" spans="2:6" x14ac:dyDescent="0.35">
      <c r="B475" s="43"/>
      <c r="C475" s="44"/>
      <c r="D475" s="44"/>
      <c r="E475" s="45"/>
      <c r="F475">
        <v>0</v>
      </c>
    </row>
    <row r="476" spans="2:6" x14ac:dyDescent="0.35">
      <c r="B476" s="43"/>
      <c r="C476" s="44"/>
      <c r="D476" s="44"/>
      <c r="E476" s="45"/>
      <c r="F476">
        <v>0</v>
      </c>
    </row>
    <row r="477" spans="2:6" x14ac:dyDescent="0.35">
      <c r="B477" s="43"/>
      <c r="C477" s="44"/>
      <c r="D477" s="44"/>
      <c r="E477" s="45"/>
      <c r="F477">
        <v>0</v>
      </c>
    </row>
    <row r="478" spans="2:6" x14ac:dyDescent="0.35">
      <c r="B478" s="43"/>
      <c r="C478" s="44"/>
      <c r="D478" s="44"/>
      <c r="E478" s="45"/>
      <c r="F478">
        <v>0</v>
      </c>
    </row>
    <row r="479" spans="2:6" x14ac:dyDescent="0.35">
      <c r="B479" s="43"/>
      <c r="C479" s="44"/>
      <c r="D479" s="44"/>
      <c r="E479" s="45"/>
      <c r="F479">
        <v>0</v>
      </c>
    </row>
    <row r="480" spans="2:6" x14ac:dyDescent="0.35">
      <c r="B480" s="43"/>
      <c r="C480" s="44"/>
      <c r="D480" s="44"/>
      <c r="E480" s="45"/>
      <c r="F480">
        <v>0</v>
      </c>
    </row>
    <row r="481" spans="2:6" x14ac:dyDescent="0.35">
      <c r="B481" s="43"/>
      <c r="C481" s="44"/>
      <c r="D481" s="44"/>
      <c r="E481" s="45"/>
      <c r="F481">
        <v>0</v>
      </c>
    </row>
    <row r="482" spans="2:6" x14ac:dyDescent="0.35">
      <c r="B482" s="43"/>
      <c r="C482" s="44"/>
      <c r="D482" s="44"/>
      <c r="E482" s="45"/>
      <c r="F482">
        <v>0</v>
      </c>
    </row>
    <row r="483" spans="2:6" x14ac:dyDescent="0.35">
      <c r="B483" s="43"/>
      <c r="C483" s="44"/>
      <c r="D483" s="44"/>
      <c r="E483" s="45"/>
      <c r="F483">
        <v>0</v>
      </c>
    </row>
    <row r="484" spans="2:6" x14ac:dyDescent="0.35">
      <c r="B484" s="43"/>
      <c r="C484" s="44"/>
      <c r="D484" s="44"/>
      <c r="E484" s="45"/>
      <c r="F484">
        <v>0</v>
      </c>
    </row>
    <row r="485" spans="2:6" x14ac:dyDescent="0.35">
      <c r="B485" s="43"/>
      <c r="C485" s="44"/>
      <c r="D485" s="44"/>
      <c r="E485" s="45"/>
      <c r="F485">
        <v>0</v>
      </c>
    </row>
    <row r="486" spans="2:6" x14ac:dyDescent="0.35">
      <c r="B486" s="43"/>
      <c r="C486" s="44"/>
      <c r="D486" s="44"/>
      <c r="E486" s="45"/>
      <c r="F486">
        <v>0</v>
      </c>
    </row>
    <row r="487" spans="2:6" x14ac:dyDescent="0.35">
      <c r="B487" s="43"/>
      <c r="C487" s="44"/>
      <c r="D487" s="44"/>
      <c r="E487" s="45"/>
      <c r="F487">
        <v>0</v>
      </c>
    </row>
    <row r="488" spans="2:6" x14ac:dyDescent="0.35">
      <c r="B488" s="43"/>
      <c r="C488" s="44"/>
      <c r="D488" s="44"/>
      <c r="E488" s="45"/>
      <c r="F488">
        <v>0</v>
      </c>
    </row>
    <row r="489" spans="2:6" x14ac:dyDescent="0.35">
      <c r="B489" s="43"/>
      <c r="C489" s="44"/>
      <c r="D489" s="44"/>
      <c r="E489" s="45"/>
      <c r="F489">
        <v>0</v>
      </c>
    </row>
    <row r="490" spans="2:6" x14ac:dyDescent="0.35">
      <c r="B490" s="43"/>
      <c r="C490" s="44"/>
      <c r="D490" s="44"/>
      <c r="E490" s="45"/>
      <c r="F490">
        <v>0</v>
      </c>
    </row>
    <row r="491" spans="2:6" x14ac:dyDescent="0.35">
      <c r="B491" s="43"/>
      <c r="C491" s="44"/>
      <c r="D491" s="44"/>
      <c r="E491" s="45"/>
      <c r="F491">
        <v>0</v>
      </c>
    </row>
    <row r="492" spans="2:6" x14ac:dyDescent="0.35">
      <c r="B492" s="43"/>
      <c r="C492" s="44"/>
      <c r="D492" s="44"/>
      <c r="E492" s="45"/>
      <c r="F492">
        <v>0</v>
      </c>
    </row>
    <row r="493" spans="2:6" x14ac:dyDescent="0.35">
      <c r="B493" s="43"/>
      <c r="C493" s="44"/>
      <c r="D493" s="44"/>
      <c r="E493" s="45"/>
      <c r="F493">
        <v>0</v>
      </c>
    </row>
    <row r="494" spans="2:6" x14ac:dyDescent="0.35">
      <c r="B494" s="43"/>
      <c r="C494" s="44"/>
      <c r="D494" s="44"/>
      <c r="E494" s="45"/>
      <c r="F494">
        <v>0</v>
      </c>
    </row>
    <row r="495" spans="2:6" x14ac:dyDescent="0.35">
      <c r="B495" s="43"/>
      <c r="C495" s="44"/>
      <c r="D495" s="44"/>
      <c r="E495" s="45"/>
      <c r="F495">
        <v>0</v>
      </c>
    </row>
    <row r="496" spans="2:6" x14ac:dyDescent="0.35">
      <c r="B496" s="43"/>
      <c r="C496" s="44"/>
      <c r="D496" s="44"/>
      <c r="E496" s="45"/>
      <c r="F496">
        <v>0</v>
      </c>
    </row>
    <row r="497" spans="2:6" x14ac:dyDescent="0.35">
      <c r="B497" s="43"/>
      <c r="C497" s="44"/>
      <c r="D497" s="44"/>
      <c r="E497" s="45"/>
      <c r="F497">
        <v>0</v>
      </c>
    </row>
    <row r="498" spans="2:6" x14ac:dyDescent="0.35">
      <c r="B498" s="43"/>
      <c r="C498" s="44"/>
      <c r="D498" s="44"/>
      <c r="E498" s="45"/>
      <c r="F498">
        <v>0</v>
      </c>
    </row>
    <row r="499" spans="2:6" x14ac:dyDescent="0.35">
      <c r="B499" s="43"/>
      <c r="C499" s="44"/>
      <c r="D499" s="44"/>
      <c r="E499" s="45"/>
      <c r="F499">
        <v>0</v>
      </c>
    </row>
    <row r="500" spans="2:6" x14ac:dyDescent="0.35">
      <c r="B500" s="43"/>
      <c r="C500" s="44"/>
      <c r="D500" s="44"/>
      <c r="E500" s="45"/>
      <c r="F500">
        <v>0</v>
      </c>
    </row>
    <row r="501" spans="2:6" x14ac:dyDescent="0.35">
      <c r="B501" s="43"/>
      <c r="C501" s="44"/>
      <c r="D501" s="44"/>
      <c r="E501" s="45"/>
      <c r="F501">
        <v>0</v>
      </c>
    </row>
    <row r="502" spans="2:6" x14ac:dyDescent="0.35">
      <c r="B502" s="43"/>
      <c r="C502" s="44"/>
      <c r="D502" s="44"/>
      <c r="E502" s="45"/>
      <c r="F502">
        <v>0</v>
      </c>
    </row>
    <row r="503" spans="2:6" x14ac:dyDescent="0.35">
      <c r="B503" s="43"/>
      <c r="C503" s="44"/>
      <c r="D503" s="44"/>
      <c r="E503" s="45"/>
      <c r="F503">
        <v>0</v>
      </c>
    </row>
    <row r="504" spans="2:6" x14ac:dyDescent="0.35">
      <c r="B504" s="43"/>
      <c r="C504" s="44"/>
      <c r="D504" s="44"/>
      <c r="E504" s="45"/>
      <c r="F504">
        <v>0</v>
      </c>
    </row>
    <row r="505" spans="2:6" x14ac:dyDescent="0.35">
      <c r="B505" s="43"/>
      <c r="C505" s="44"/>
      <c r="D505" s="44"/>
      <c r="E505" s="45"/>
      <c r="F505">
        <v>0</v>
      </c>
    </row>
    <row r="506" spans="2:6" x14ac:dyDescent="0.35">
      <c r="B506" s="43"/>
      <c r="C506" s="44"/>
      <c r="D506" s="44"/>
      <c r="E506" s="45"/>
      <c r="F506">
        <v>0</v>
      </c>
    </row>
    <row r="507" spans="2:6" x14ac:dyDescent="0.35">
      <c r="B507" s="43"/>
      <c r="C507" s="44"/>
      <c r="D507" s="44"/>
      <c r="E507" s="45"/>
      <c r="F507">
        <v>0</v>
      </c>
    </row>
    <row r="508" spans="2:6" x14ac:dyDescent="0.35">
      <c r="B508" s="43"/>
      <c r="C508" s="44"/>
      <c r="D508" s="44"/>
      <c r="E508" s="45"/>
      <c r="F508">
        <v>0</v>
      </c>
    </row>
    <row r="509" spans="2:6" x14ac:dyDescent="0.35">
      <c r="B509" s="43"/>
      <c r="C509" s="44"/>
      <c r="D509" s="44"/>
      <c r="E509" s="45"/>
      <c r="F509">
        <v>0</v>
      </c>
    </row>
    <row r="510" spans="2:6" x14ac:dyDescent="0.35">
      <c r="B510" s="43"/>
      <c r="C510" s="44"/>
      <c r="D510" s="44"/>
      <c r="E510" s="45"/>
      <c r="F510">
        <v>0</v>
      </c>
    </row>
    <row r="511" spans="2:6" x14ac:dyDescent="0.35">
      <c r="B511" s="43"/>
      <c r="C511" s="44"/>
      <c r="D511" s="44"/>
      <c r="E511" s="45"/>
      <c r="F511">
        <v>0</v>
      </c>
    </row>
    <row r="512" spans="2:6" x14ac:dyDescent="0.35">
      <c r="B512" s="43"/>
      <c r="C512" s="44"/>
      <c r="D512" s="44"/>
      <c r="E512" s="45"/>
      <c r="F512">
        <v>0</v>
      </c>
    </row>
    <row r="513" spans="2:6" x14ac:dyDescent="0.35">
      <c r="B513" s="43"/>
      <c r="C513" s="44"/>
      <c r="D513" s="44"/>
      <c r="E513" s="45"/>
      <c r="F513">
        <v>0</v>
      </c>
    </row>
    <row r="514" spans="2:6" x14ac:dyDescent="0.35">
      <c r="B514" s="43"/>
      <c r="C514" s="44"/>
      <c r="D514" s="44"/>
      <c r="E514" s="45"/>
      <c r="F514">
        <v>0</v>
      </c>
    </row>
    <row r="515" spans="2:6" x14ac:dyDescent="0.35">
      <c r="B515" s="43"/>
      <c r="C515" s="44"/>
      <c r="D515" s="44"/>
      <c r="E515" s="45"/>
      <c r="F515">
        <v>0</v>
      </c>
    </row>
    <row r="516" spans="2:6" x14ac:dyDescent="0.35">
      <c r="B516" s="43"/>
      <c r="C516" s="44"/>
      <c r="D516" s="44"/>
      <c r="E516" s="45"/>
      <c r="F516">
        <v>0</v>
      </c>
    </row>
    <row r="517" spans="2:6" x14ac:dyDescent="0.35">
      <c r="B517" s="43"/>
      <c r="C517" s="44"/>
      <c r="D517" s="44"/>
      <c r="E517" s="45"/>
      <c r="F517">
        <v>0</v>
      </c>
    </row>
    <row r="518" spans="2:6" x14ac:dyDescent="0.35">
      <c r="B518" s="43"/>
      <c r="C518" s="44"/>
      <c r="D518" s="44"/>
      <c r="E518" s="45"/>
      <c r="F518">
        <v>0</v>
      </c>
    </row>
    <row r="519" spans="2:6" x14ac:dyDescent="0.35">
      <c r="B519" s="43"/>
      <c r="C519" s="44"/>
      <c r="D519" s="44"/>
      <c r="E519" s="45"/>
      <c r="F519">
        <v>0</v>
      </c>
    </row>
    <row r="520" spans="2:6" x14ac:dyDescent="0.35">
      <c r="B520" s="43"/>
      <c r="C520" s="44"/>
      <c r="D520" s="44"/>
      <c r="E520" s="45"/>
      <c r="F520">
        <v>0</v>
      </c>
    </row>
    <row r="521" spans="2:6" x14ac:dyDescent="0.35">
      <c r="B521" s="43"/>
      <c r="C521" s="44"/>
      <c r="D521" s="44"/>
      <c r="E521" s="45"/>
      <c r="F521">
        <v>0</v>
      </c>
    </row>
    <row r="522" spans="2:6" x14ac:dyDescent="0.35">
      <c r="B522" s="43"/>
      <c r="C522" s="44"/>
      <c r="D522" s="44"/>
      <c r="E522" s="45"/>
      <c r="F522">
        <v>0</v>
      </c>
    </row>
    <row r="523" spans="2:6" x14ac:dyDescent="0.35">
      <c r="B523" s="43"/>
      <c r="C523" s="44"/>
      <c r="D523" s="44"/>
      <c r="E523" s="45"/>
      <c r="F523">
        <v>0</v>
      </c>
    </row>
    <row r="524" spans="2:6" x14ac:dyDescent="0.35">
      <c r="B524" s="43"/>
      <c r="C524" s="44"/>
      <c r="D524" s="44"/>
      <c r="E524" s="45"/>
      <c r="F524">
        <v>0</v>
      </c>
    </row>
    <row r="525" spans="2:6" x14ac:dyDescent="0.35">
      <c r="B525" s="43"/>
      <c r="C525" s="44"/>
      <c r="D525" s="44"/>
      <c r="E525" s="45"/>
      <c r="F525">
        <v>0</v>
      </c>
    </row>
    <row r="526" spans="2:6" x14ac:dyDescent="0.35">
      <c r="B526" s="43"/>
      <c r="C526" s="44"/>
      <c r="D526" s="44"/>
      <c r="E526" s="45"/>
      <c r="F526">
        <v>0</v>
      </c>
    </row>
    <row r="527" spans="2:6" x14ac:dyDescent="0.35">
      <c r="B527" s="43"/>
      <c r="C527" s="44"/>
      <c r="D527" s="44"/>
      <c r="E527" s="45"/>
      <c r="F527">
        <v>0</v>
      </c>
    </row>
    <row r="528" spans="2:6" x14ac:dyDescent="0.35">
      <c r="B528" s="43"/>
      <c r="C528" s="44"/>
      <c r="D528" s="44"/>
      <c r="E528" s="45"/>
      <c r="F528">
        <v>0</v>
      </c>
    </row>
    <row r="529" spans="2:6" x14ac:dyDescent="0.35">
      <c r="B529" s="43"/>
      <c r="C529" s="44"/>
      <c r="D529" s="44"/>
      <c r="E529" s="45"/>
      <c r="F529">
        <v>0</v>
      </c>
    </row>
    <row r="530" spans="2:6" x14ac:dyDescent="0.35">
      <c r="B530" s="43"/>
      <c r="C530" s="44"/>
      <c r="D530" s="44"/>
      <c r="E530" s="45"/>
      <c r="F530">
        <v>0</v>
      </c>
    </row>
    <row r="531" spans="2:6" x14ac:dyDescent="0.35">
      <c r="B531" s="43"/>
      <c r="C531" s="44"/>
      <c r="D531" s="44"/>
      <c r="E531" s="45"/>
      <c r="F531">
        <v>0</v>
      </c>
    </row>
    <row r="532" spans="2:6" x14ac:dyDescent="0.35">
      <c r="B532" s="43"/>
      <c r="C532" s="44"/>
      <c r="D532" s="44"/>
      <c r="E532" s="45"/>
      <c r="F532">
        <v>0</v>
      </c>
    </row>
    <row r="533" spans="2:6" x14ac:dyDescent="0.35">
      <c r="B533" s="43"/>
      <c r="C533" s="44"/>
      <c r="D533" s="44"/>
      <c r="E533" s="45"/>
      <c r="F533">
        <v>0</v>
      </c>
    </row>
    <row r="534" spans="2:6" x14ac:dyDescent="0.35">
      <c r="B534" s="43"/>
      <c r="C534" s="44"/>
      <c r="D534" s="44"/>
      <c r="E534" s="45"/>
      <c r="F534">
        <v>0</v>
      </c>
    </row>
    <row r="535" spans="2:6" x14ac:dyDescent="0.35">
      <c r="B535" s="43"/>
      <c r="C535" s="44"/>
      <c r="D535" s="44"/>
      <c r="E535" s="45"/>
      <c r="F535">
        <v>0</v>
      </c>
    </row>
    <row r="536" spans="2:6" x14ac:dyDescent="0.35">
      <c r="B536" s="43"/>
      <c r="C536" s="44"/>
      <c r="D536" s="44"/>
      <c r="E536" s="45"/>
      <c r="F536">
        <v>0</v>
      </c>
    </row>
    <row r="537" spans="2:6" x14ac:dyDescent="0.35">
      <c r="B537" s="43"/>
      <c r="C537" s="44"/>
      <c r="D537" s="44"/>
      <c r="E537" s="45"/>
      <c r="F537">
        <v>0</v>
      </c>
    </row>
    <row r="538" spans="2:6" x14ac:dyDescent="0.35">
      <c r="B538" s="43"/>
      <c r="C538" s="44"/>
      <c r="D538" s="44"/>
      <c r="E538" s="45"/>
      <c r="F538">
        <v>0</v>
      </c>
    </row>
    <row r="539" spans="2:6" x14ac:dyDescent="0.35">
      <c r="B539" s="43"/>
      <c r="C539" s="44"/>
      <c r="D539" s="44"/>
      <c r="E539" s="45"/>
      <c r="F539">
        <v>0</v>
      </c>
    </row>
    <row r="540" spans="2:6" x14ac:dyDescent="0.35">
      <c r="B540" s="43"/>
      <c r="C540" s="44"/>
      <c r="D540" s="44"/>
      <c r="E540" s="45"/>
      <c r="F540">
        <v>0</v>
      </c>
    </row>
    <row r="541" spans="2:6" x14ac:dyDescent="0.35">
      <c r="B541" s="43"/>
      <c r="C541" s="44"/>
      <c r="D541" s="44"/>
      <c r="E541" s="45"/>
      <c r="F541">
        <v>0</v>
      </c>
    </row>
    <row r="542" spans="2:6" x14ac:dyDescent="0.35">
      <c r="B542" s="43"/>
      <c r="C542" s="44"/>
      <c r="D542" s="44"/>
      <c r="E542" s="45"/>
      <c r="F542">
        <v>0</v>
      </c>
    </row>
    <row r="543" spans="2:6" x14ac:dyDescent="0.35">
      <c r="B543" s="43"/>
      <c r="C543" s="44"/>
      <c r="D543" s="44"/>
      <c r="E543" s="45"/>
      <c r="F543">
        <v>0</v>
      </c>
    </row>
    <row r="544" spans="2:6" x14ac:dyDescent="0.35">
      <c r="B544" s="43"/>
      <c r="C544" s="44"/>
      <c r="D544" s="44"/>
      <c r="E544" s="45"/>
      <c r="F544">
        <v>0</v>
      </c>
    </row>
    <row r="545" spans="2:6" x14ac:dyDescent="0.35">
      <c r="B545" s="43"/>
      <c r="C545" s="44"/>
      <c r="D545" s="44"/>
      <c r="E545" s="45"/>
      <c r="F545">
        <v>0</v>
      </c>
    </row>
    <row r="546" spans="2:6" x14ac:dyDescent="0.35">
      <c r="B546" s="43"/>
      <c r="C546" s="44"/>
      <c r="D546" s="44"/>
      <c r="E546" s="45"/>
      <c r="F546">
        <v>0</v>
      </c>
    </row>
    <row r="547" spans="2:6" x14ac:dyDescent="0.35">
      <c r="B547" s="43"/>
      <c r="C547" s="44"/>
      <c r="D547" s="44"/>
      <c r="E547" s="45"/>
      <c r="F547">
        <v>0</v>
      </c>
    </row>
    <row r="548" spans="2:6" x14ac:dyDescent="0.35">
      <c r="B548" s="43"/>
      <c r="C548" s="44"/>
      <c r="D548" s="44"/>
      <c r="E548" s="45"/>
      <c r="F548">
        <v>0</v>
      </c>
    </row>
    <row r="549" spans="2:6" x14ac:dyDescent="0.35">
      <c r="B549" s="43"/>
      <c r="C549" s="44"/>
      <c r="D549" s="44"/>
      <c r="E549" s="45"/>
      <c r="F549">
        <v>0</v>
      </c>
    </row>
    <row r="550" spans="2:6" x14ac:dyDescent="0.35">
      <c r="B550" s="43"/>
      <c r="C550" s="44"/>
      <c r="D550" s="44"/>
      <c r="E550" s="45"/>
      <c r="F550">
        <v>0</v>
      </c>
    </row>
    <row r="551" spans="2:6" x14ac:dyDescent="0.35">
      <c r="B551" s="43"/>
      <c r="C551" s="44"/>
      <c r="D551" s="44"/>
      <c r="E551" s="45"/>
      <c r="F551">
        <v>0</v>
      </c>
    </row>
    <row r="552" spans="2:6" x14ac:dyDescent="0.35">
      <c r="B552" s="43"/>
      <c r="C552" s="44"/>
      <c r="D552" s="44"/>
      <c r="E552" s="45"/>
      <c r="F552">
        <v>0</v>
      </c>
    </row>
    <row r="553" spans="2:6" x14ac:dyDescent="0.35">
      <c r="B553" s="43"/>
      <c r="C553" s="44"/>
      <c r="D553" s="44"/>
      <c r="E553" s="45"/>
      <c r="F553">
        <v>0</v>
      </c>
    </row>
    <row r="554" spans="2:6" x14ac:dyDescent="0.35">
      <c r="B554" s="43"/>
      <c r="C554" s="44"/>
      <c r="D554" s="44"/>
      <c r="E554" s="45"/>
      <c r="F554">
        <v>0</v>
      </c>
    </row>
    <row r="555" spans="2:6" x14ac:dyDescent="0.35">
      <c r="B555" s="43"/>
      <c r="C555" s="44"/>
      <c r="D555" s="44"/>
      <c r="E555" s="45"/>
      <c r="F555">
        <v>0</v>
      </c>
    </row>
    <row r="556" spans="2:6" x14ac:dyDescent="0.35">
      <c r="B556" s="43"/>
      <c r="C556" s="44"/>
      <c r="D556" s="44"/>
      <c r="E556" s="45"/>
      <c r="F556">
        <v>0</v>
      </c>
    </row>
    <row r="557" spans="2:6" x14ac:dyDescent="0.35">
      <c r="B557" s="43"/>
      <c r="C557" s="44"/>
      <c r="D557" s="44"/>
      <c r="E557" s="45"/>
      <c r="F557">
        <v>0</v>
      </c>
    </row>
    <row r="558" spans="2:6" x14ac:dyDescent="0.35">
      <c r="B558" s="43"/>
      <c r="C558" s="44"/>
      <c r="D558" s="44"/>
      <c r="E558" s="45"/>
      <c r="F558">
        <v>0</v>
      </c>
    </row>
    <row r="559" spans="2:6" x14ac:dyDescent="0.35">
      <c r="B559" s="43"/>
      <c r="C559" s="44"/>
      <c r="D559" s="44"/>
      <c r="E559" s="45"/>
      <c r="F559">
        <v>0</v>
      </c>
    </row>
    <row r="560" spans="2:6" x14ac:dyDescent="0.35">
      <c r="B560" s="43"/>
      <c r="C560" s="44"/>
      <c r="D560" s="44"/>
      <c r="E560" s="45"/>
      <c r="F560">
        <v>0</v>
      </c>
    </row>
    <row r="561" spans="2:6" x14ac:dyDescent="0.35">
      <c r="B561" s="43"/>
      <c r="C561" s="44"/>
      <c r="D561" s="44"/>
      <c r="E561" s="45"/>
      <c r="F561">
        <v>0</v>
      </c>
    </row>
    <row r="562" spans="2:6" x14ac:dyDescent="0.35">
      <c r="B562" s="43"/>
      <c r="C562" s="44"/>
      <c r="D562" s="44"/>
      <c r="E562" s="45"/>
      <c r="F562">
        <v>0</v>
      </c>
    </row>
    <row r="563" spans="2:6" x14ac:dyDescent="0.35">
      <c r="B563" s="43"/>
      <c r="C563" s="44"/>
      <c r="D563" s="44"/>
      <c r="E563" s="45"/>
      <c r="F563">
        <v>0</v>
      </c>
    </row>
    <row r="564" spans="2:6" x14ac:dyDescent="0.35">
      <c r="B564" s="43"/>
      <c r="C564" s="44"/>
      <c r="D564" s="44"/>
      <c r="E564" s="45"/>
      <c r="F564">
        <v>0</v>
      </c>
    </row>
    <row r="565" spans="2:6" x14ac:dyDescent="0.35">
      <c r="B565" s="43"/>
      <c r="C565" s="44"/>
      <c r="D565" s="44"/>
      <c r="E565" s="45"/>
      <c r="F565">
        <v>0</v>
      </c>
    </row>
    <row r="566" spans="2:6" x14ac:dyDescent="0.35">
      <c r="B566" s="43"/>
      <c r="C566" s="44"/>
      <c r="D566" s="44"/>
      <c r="E566" s="45"/>
      <c r="F566">
        <v>0</v>
      </c>
    </row>
    <row r="567" spans="2:6" x14ac:dyDescent="0.35">
      <c r="B567" s="43"/>
      <c r="C567" s="44"/>
      <c r="D567" s="44"/>
      <c r="E567" s="45"/>
      <c r="F567">
        <v>0</v>
      </c>
    </row>
    <row r="568" spans="2:6" x14ac:dyDescent="0.35">
      <c r="B568" s="43"/>
      <c r="C568" s="44"/>
      <c r="D568" s="44"/>
      <c r="E568" s="45"/>
      <c r="F568">
        <v>0</v>
      </c>
    </row>
    <row r="569" spans="2:6" x14ac:dyDescent="0.35">
      <c r="B569" s="43"/>
      <c r="C569" s="44"/>
      <c r="D569" s="44"/>
      <c r="E569" s="45"/>
      <c r="F569">
        <v>0</v>
      </c>
    </row>
    <row r="570" spans="2:6" x14ac:dyDescent="0.35">
      <c r="B570" s="43"/>
      <c r="C570" s="44"/>
      <c r="D570" s="44"/>
      <c r="E570" s="45"/>
      <c r="F570">
        <v>0</v>
      </c>
    </row>
    <row r="571" spans="2:6" x14ac:dyDescent="0.35">
      <c r="B571" s="43"/>
      <c r="C571" s="44"/>
      <c r="D571" s="44"/>
      <c r="E571" s="45"/>
      <c r="F571">
        <v>0</v>
      </c>
    </row>
    <row r="572" spans="2:6" x14ac:dyDescent="0.35">
      <c r="B572" s="43"/>
      <c r="C572" s="44"/>
      <c r="D572" s="44"/>
      <c r="E572" s="45"/>
      <c r="F572">
        <v>0</v>
      </c>
    </row>
    <row r="573" spans="2:6" x14ac:dyDescent="0.35">
      <c r="B573" s="43"/>
      <c r="C573" s="44"/>
      <c r="D573" s="44"/>
      <c r="E573" s="45"/>
      <c r="F573">
        <v>0</v>
      </c>
    </row>
    <row r="574" spans="2:6" x14ac:dyDescent="0.35">
      <c r="B574" s="43"/>
      <c r="C574" s="44"/>
      <c r="D574" s="44"/>
      <c r="E574" s="45"/>
      <c r="F574">
        <v>0</v>
      </c>
    </row>
    <row r="575" spans="2:6" x14ac:dyDescent="0.35">
      <c r="B575" s="43"/>
      <c r="C575" s="44"/>
      <c r="D575" s="44"/>
      <c r="E575" s="45"/>
      <c r="F575">
        <v>0</v>
      </c>
    </row>
    <row r="576" spans="2:6" x14ac:dyDescent="0.35">
      <c r="B576" s="43"/>
      <c r="C576" s="44"/>
      <c r="D576" s="44"/>
      <c r="E576" s="45"/>
      <c r="F576">
        <v>0</v>
      </c>
    </row>
    <row r="577" spans="2:6" x14ac:dyDescent="0.35">
      <c r="B577" s="43"/>
      <c r="C577" s="44"/>
      <c r="D577" s="44"/>
      <c r="E577" s="45"/>
      <c r="F577">
        <v>0</v>
      </c>
    </row>
    <row r="578" spans="2:6" x14ac:dyDescent="0.35">
      <c r="B578" s="43"/>
      <c r="C578" s="44"/>
      <c r="D578" s="44"/>
      <c r="E578" s="45"/>
      <c r="F578">
        <v>0</v>
      </c>
    </row>
    <row r="579" spans="2:6" x14ac:dyDescent="0.35">
      <c r="B579" s="43"/>
      <c r="C579" s="44"/>
      <c r="D579" s="44"/>
      <c r="E579" s="45"/>
      <c r="F579">
        <v>0</v>
      </c>
    </row>
    <row r="580" spans="2:6" x14ac:dyDescent="0.35">
      <c r="B580" s="43"/>
      <c r="C580" s="44"/>
      <c r="D580" s="44"/>
      <c r="E580" s="45"/>
      <c r="F580">
        <v>0</v>
      </c>
    </row>
    <row r="581" spans="2:6" x14ac:dyDescent="0.35">
      <c r="B581" s="43"/>
      <c r="C581" s="44"/>
      <c r="D581" s="44"/>
      <c r="E581" s="45"/>
      <c r="F581">
        <v>0</v>
      </c>
    </row>
    <row r="582" spans="2:6" x14ac:dyDescent="0.35">
      <c r="B582" s="43"/>
      <c r="C582" s="44"/>
      <c r="D582" s="44"/>
      <c r="E582" s="45"/>
      <c r="F582">
        <v>0</v>
      </c>
    </row>
    <row r="583" spans="2:6" x14ac:dyDescent="0.35">
      <c r="B583" s="43"/>
      <c r="C583" s="44"/>
      <c r="D583" s="44"/>
      <c r="E583" s="45"/>
      <c r="F583">
        <v>0</v>
      </c>
    </row>
    <row r="584" spans="2:6" x14ac:dyDescent="0.35">
      <c r="B584" s="43"/>
      <c r="C584" s="44"/>
      <c r="D584" s="44"/>
      <c r="E584" s="45"/>
      <c r="F584">
        <v>0</v>
      </c>
    </row>
    <row r="585" spans="2:6" x14ac:dyDescent="0.35">
      <c r="B585" s="43"/>
      <c r="C585" s="44"/>
      <c r="D585" s="44"/>
      <c r="E585" s="45"/>
      <c r="F585">
        <v>0</v>
      </c>
    </row>
    <row r="586" spans="2:6" x14ac:dyDescent="0.35">
      <c r="B586" s="43"/>
      <c r="C586" s="44"/>
      <c r="D586" s="44"/>
      <c r="E586" s="45"/>
      <c r="F586">
        <v>0</v>
      </c>
    </row>
    <row r="587" spans="2:6" x14ac:dyDescent="0.35">
      <c r="B587" s="43"/>
      <c r="C587" s="44"/>
      <c r="D587" s="44"/>
      <c r="E587" s="45"/>
      <c r="F587">
        <v>0</v>
      </c>
    </row>
    <row r="588" spans="2:6" x14ac:dyDescent="0.35">
      <c r="B588" s="43"/>
      <c r="C588" s="44"/>
      <c r="D588" s="44"/>
      <c r="E588" s="45"/>
      <c r="F588">
        <v>0</v>
      </c>
    </row>
    <row r="589" spans="2:6" x14ac:dyDescent="0.35">
      <c r="B589" s="43"/>
      <c r="C589" s="44"/>
      <c r="D589" s="44"/>
      <c r="E589" s="45"/>
      <c r="F589">
        <v>0</v>
      </c>
    </row>
    <row r="590" spans="2:6" x14ac:dyDescent="0.35">
      <c r="B590" s="43"/>
      <c r="C590" s="44"/>
      <c r="D590" s="44"/>
      <c r="E590" s="45"/>
      <c r="F590">
        <v>0</v>
      </c>
    </row>
    <row r="591" spans="2:6" x14ac:dyDescent="0.35">
      <c r="B591" s="43"/>
      <c r="C591" s="44"/>
      <c r="D591" s="44"/>
      <c r="E591" s="45"/>
      <c r="F591">
        <v>0</v>
      </c>
    </row>
    <row r="592" spans="2:6" x14ac:dyDescent="0.35">
      <c r="B592" s="43"/>
      <c r="C592" s="44"/>
      <c r="D592" s="44"/>
      <c r="E592" s="45"/>
      <c r="F592">
        <v>0</v>
      </c>
    </row>
    <row r="593" spans="2:6" x14ac:dyDescent="0.35">
      <c r="B593" s="43"/>
      <c r="C593" s="44"/>
      <c r="D593" s="44"/>
      <c r="E593" s="45"/>
      <c r="F593">
        <v>0</v>
      </c>
    </row>
    <row r="594" spans="2:6" x14ac:dyDescent="0.35">
      <c r="B594" s="43"/>
      <c r="C594" s="44"/>
      <c r="D594" s="44"/>
      <c r="E594" s="45"/>
      <c r="F594">
        <v>0</v>
      </c>
    </row>
    <row r="595" spans="2:6" x14ac:dyDescent="0.35">
      <c r="B595" s="43"/>
      <c r="C595" s="44"/>
      <c r="D595" s="44"/>
      <c r="E595" s="45"/>
      <c r="F595">
        <v>0</v>
      </c>
    </row>
    <row r="596" spans="2:6" x14ac:dyDescent="0.35">
      <c r="B596" s="43"/>
      <c r="C596" s="44"/>
      <c r="D596" s="44"/>
      <c r="E596" s="45"/>
      <c r="F596">
        <v>0</v>
      </c>
    </row>
    <row r="597" spans="2:6" x14ac:dyDescent="0.35">
      <c r="B597" s="43"/>
      <c r="C597" s="44"/>
      <c r="D597" s="44"/>
      <c r="E597" s="45"/>
      <c r="F597">
        <v>0</v>
      </c>
    </row>
    <row r="598" spans="2:6" x14ac:dyDescent="0.35">
      <c r="B598" s="43"/>
      <c r="C598" s="44"/>
      <c r="D598" s="44"/>
      <c r="E598" s="45"/>
      <c r="F598">
        <v>0</v>
      </c>
    </row>
    <row r="599" spans="2:6" x14ac:dyDescent="0.35">
      <c r="B599" s="43"/>
      <c r="C599" s="44"/>
      <c r="D599" s="44"/>
      <c r="E599" s="45"/>
      <c r="F599">
        <v>0</v>
      </c>
    </row>
    <row r="600" spans="2:6" x14ac:dyDescent="0.35">
      <c r="B600" s="43"/>
      <c r="C600" s="44"/>
      <c r="D600" s="44"/>
      <c r="E600" s="45"/>
      <c r="F600">
        <v>0</v>
      </c>
    </row>
    <row r="601" spans="2:6" x14ac:dyDescent="0.35">
      <c r="B601" s="43"/>
      <c r="C601" s="44"/>
      <c r="D601" s="44"/>
      <c r="E601" s="45"/>
      <c r="F601">
        <v>0</v>
      </c>
    </row>
    <row r="602" spans="2:6" x14ac:dyDescent="0.35">
      <c r="B602" s="43"/>
      <c r="C602" s="44"/>
      <c r="D602" s="44"/>
      <c r="E602" s="45"/>
      <c r="F602">
        <v>0</v>
      </c>
    </row>
    <row r="603" spans="2:6" x14ac:dyDescent="0.35">
      <c r="B603" s="43"/>
      <c r="C603" s="44"/>
      <c r="D603" s="44"/>
      <c r="E603" s="45"/>
      <c r="F603">
        <v>0</v>
      </c>
    </row>
    <row r="604" spans="2:6" x14ac:dyDescent="0.35">
      <c r="B604" s="43"/>
      <c r="C604" s="44"/>
      <c r="D604" s="44"/>
      <c r="E604" s="45"/>
      <c r="F604">
        <v>0</v>
      </c>
    </row>
    <row r="605" spans="2:6" x14ac:dyDescent="0.35">
      <c r="B605" s="43"/>
      <c r="C605" s="44"/>
      <c r="D605" s="44"/>
      <c r="E605" s="45"/>
      <c r="F605">
        <v>0</v>
      </c>
    </row>
    <row r="606" spans="2:6" x14ac:dyDescent="0.35">
      <c r="B606" s="43"/>
      <c r="C606" s="44"/>
      <c r="D606" s="44"/>
      <c r="E606" s="45"/>
      <c r="F606">
        <v>0</v>
      </c>
    </row>
    <row r="607" spans="2:6" x14ac:dyDescent="0.35">
      <c r="B607" s="43"/>
      <c r="C607" s="44"/>
      <c r="D607" s="44"/>
      <c r="E607" s="45"/>
      <c r="F607">
        <v>0</v>
      </c>
    </row>
    <row r="608" spans="2:6" x14ac:dyDescent="0.35">
      <c r="B608" s="43"/>
      <c r="C608" s="44"/>
      <c r="D608" s="44"/>
      <c r="E608" s="45"/>
      <c r="F608">
        <v>0</v>
      </c>
    </row>
    <row r="609" spans="2:6" x14ac:dyDescent="0.35">
      <c r="B609" s="43"/>
      <c r="C609" s="44"/>
      <c r="D609" s="44"/>
      <c r="E609" s="45"/>
      <c r="F609">
        <v>0</v>
      </c>
    </row>
    <row r="610" spans="2:6" x14ac:dyDescent="0.35">
      <c r="B610" s="43"/>
      <c r="C610" s="44"/>
      <c r="D610" s="44"/>
      <c r="E610" s="45"/>
      <c r="F610">
        <v>0</v>
      </c>
    </row>
    <row r="611" spans="2:6" x14ac:dyDescent="0.35">
      <c r="B611" s="43"/>
      <c r="C611" s="44"/>
      <c r="D611" s="44"/>
      <c r="E611" s="45"/>
      <c r="F611">
        <v>0</v>
      </c>
    </row>
    <row r="612" spans="2:6" x14ac:dyDescent="0.35">
      <c r="B612" s="43"/>
      <c r="C612" s="44"/>
      <c r="D612" s="44"/>
      <c r="E612" s="45"/>
      <c r="F612">
        <v>0</v>
      </c>
    </row>
    <row r="613" spans="2:6" x14ac:dyDescent="0.35">
      <c r="B613" s="43"/>
      <c r="C613" s="44"/>
      <c r="D613" s="44"/>
      <c r="E613" s="45"/>
      <c r="F613">
        <v>0</v>
      </c>
    </row>
    <row r="614" spans="2:6" x14ac:dyDescent="0.35">
      <c r="B614" s="43"/>
      <c r="C614" s="44"/>
      <c r="D614" s="44"/>
      <c r="E614" s="45"/>
      <c r="F614">
        <v>0</v>
      </c>
    </row>
    <row r="615" spans="2:6" x14ac:dyDescent="0.35">
      <c r="B615" s="43"/>
      <c r="C615" s="44"/>
      <c r="D615" s="44"/>
      <c r="E615" s="45"/>
      <c r="F615">
        <v>0</v>
      </c>
    </row>
    <row r="616" spans="2:6" x14ac:dyDescent="0.35">
      <c r="B616" s="43"/>
      <c r="C616" s="44"/>
      <c r="D616" s="44"/>
      <c r="E616" s="45"/>
      <c r="F616">
        <v>0</v>
      </c>
    </row>
    <row r="617" spans="2:6" x14ac:dyDescent="0.35">
      <c r="B617" s="43"/>
      <c r="C617" s="44"/>
      <c r="D617" s="44"/>
      <c r="E617" s="45"/>
      <c r="F617">
        <v>0</v>
      </c>
    </row>
    <row r="618" spans="2:6" x14ac:dyDescent="0.35">
      <c r="B618" s="43"/>
      <c r="C618" s="44"/>
      <c r="D618" s="44"/>
      <c r="E618" s="45"/>
      <c r="F618">
        <v>0</v>
      </c>
    </row>
    <row r="619" spans="2:6" x14ac:dyDescent="0.35">
      <c r="B619" s="43"/>
      <c r="C619" s="44"/>
      <c r="D619" s="44"/>
      <c r="E619" s="45"/>
      <c r="F619">
        <v>0</v>
      </c>
    </row>
    <row r="620" spans="2:6" x14ac:dyDescent="0.35">
      <c r="B620" s="43"/>
      <c r="C620" s="44"/>
      <c r="D620" s="44"/>
      <c r="E620" s="45"/>
      <c r="F620">
        <v>0</v>
      </c>
    </row>
    <row r="621" spans="2:6" x14ac:dyDescent="0.35">
      <c r="B621" s="43"/>
      <c r="C621" s="44"/>
      <c r="D621" s="44"/>
      <c r="E621" s="45"/>
      <c r="F621">
        <v>0</v>
      </c>
    </row>
    <row r="622" spans="2:6" x14ac:dyDescent="0.35">
      <c r="B622" s="43"/>
      <c r="C622" s="44"/>
      <c r="D622" s="44"/>
      <c r="E622" s="45"/>
      <c r="F622">
        <v>0</v>
      </c>
    </row>
    <row r="623" spans="2:6" x14ac:dyDescent="0.35">
      <c r="B623" s="43"/>
      <c r="C623" s="44"/>
      <c r="D623" s="44"/>
      <c r="E623" s="45"/>
      <c r="F623">
        <v>0</v>
      </c>
    </row>
    <row r="624" spans="2:6" x14ac:dyDescent="0.35">
      <c r="B624" s="43"/>
      <c r="C624" s="44"/>
      <c r="D624" s="44"/>
      <c r="E624" s="45"/>
      <c r="F624">
        <v>0</v>
      </c>
    </row>
    <row r="625" spans="2:6" x14ac:dyDescent="0.35">
      <c r="B625" s="43"/>
      <c r="C625" s="44"/>
      <c r="D625" s="44"/>
      <c r="E625" s="45"/>
      <c r="F625">
        <v>0</v>
      </c>
    </row>
    <row r="626" spans="2:6" x14ac:dyDescent="0.35">
      <c r="B626" s="43"/>
      <c r="C626" s="44"/>
      <c r="D626" s="44"/>
      <c r="E626" s="45"/>
      <c r="F626">
        <v>0</v>
      </c>
    </row>
    <row r="627" spans="2:6" x14ac:dyDescent="0.35">
      <c r="B627" s="43"/>
      <c r="C627" s="44"/>
      <c r="D627" s="44"/>
      <c r="E627" s="45"/>
      <c r="F627">
        <v>0</v>
      </c>
    </row>
    <row r="628" spans="2:6" x14ac:dyDescent="0.35">
      <c r="B628" s="43"/>
      <c r="C628" s="44"/>
      <c r="D628" s="44"/>
      <c r="E628" s="45"/>
      <c r="F628">
        <v>0</v>
      </c>
    </row>
    <row r="629" spans="2:6" x14ac:dyDescent="0.35">
      <c r="B629" s="43"/>
      <c r="C629" s="44"/>
      <c r="D629" s="44"/>
      <c r="E629" s="45"/>
      <c r="F629">
        <v>0</v>
      </c>
    </row>
    <row r="630" spans="2:6" x14ac:dyDescent="0.35">
      <c r="B630" s="43"/>
      <c r="C630" s="44"/>
      <c r="D630" s="44"/>
      <c r="E630" s="45"/>
      <c r="F630">
        <v>0</v>
      </c>
    </row>
    <row r="631" spans="2:6" x14ac:dyDescent="0.35">
      <c r="B631" s="43"/>
      <c r="C631" s="44"/>
      <c r="D631" s="44"/>
      <c r="E631" s="45"/>
      <c r="F631">
        <v>0</v>
      </c>
    </row>
    <row r="632" spans="2:6" x14ac:dyDescent="0.35">
      <c r="B632" s="43"/>
      <c r="C632" s="44"/>
      <c r="D632" s="44"/>
      <c r="E632" s="45"/>
      <c r="F632">
        <v>0</v>
      </c>
    </row>
    <row r="633" spans="2:6" x14ac:dyDescent="0.35">
      <c r="B633" s="43"/>
      <c r="C633" s="44"/>
      <c r="D633" s="44"/>
      <c r="E633" s="45"/>
      <c r="F633">
        <v>0</v>
      </c>
    </row>
    <row r="634" spans="2:6" x14ac:dyDescent="0.35">
      <c r="B634" s="43"/>
      <c r="C634" s="44"/>
      <c r="D634" s="44"/>
      <c r="E634" s="45"/>
      <c r="F634">
        <v>0</v>
      </c>
    </row>
    <row r="635" spans="2:6" x14ac:dyDescent="0.35">
      <c r="B635" s="43"/>
      <c r="C635" s="44"/>
      <c r="D635" s="44"/>
      <c r="E635" s="45"/>
      <c r="F635">
        <v>0</v>
      </c>
    </row>
    <row r="636" spans="2:6" x14ac:dyDescent="0.35">
      <c r="B636" s="43"/>
      <c r="C636" s="44"/>
      <c r="D636" s="44"/>
      <c r="E636" s="45"/>
      <c r="F636">
        <v>0</v>
      </c>
    </row>
    <row r="637" spans="2:6" x14ac:dyDescent="0.35">
      <c r="B637" s="43"/>
      <c r="C637" s="44"/>
      <c r="D637" s="44"/>
      <c r="E637" s="45"/>
      <c r="F637">
        <v>0</v>
      </c>
    </row>
    <row r="638" spans="2:6" x14ac:dyDescent="0.35">
      <c r="B638" s="43"/>
      <c r="C638" s="44"/>
      <c r="D638" s="44"/>
      <c r="E638" s="45"/>
      <c r="F638">
        <v>0</v>
      </c>
    </row>
    <row r="639" spans="2:6" x14ac:dyDescent="0.35">
      <c r="B639" s="43"/>
      <c r="C639" s="44"/>
      <c r="D639" s="44"/>
      <c r="E639" s="45"/>
      <c r="F639">
        <v>0</v>
      </c>
    </row>
    <row r="640" spans="2:6" x14ac:dyDescent="0.35">
      <c r="B640" s="43"/>
      <c r="C640" s="44"/>
      <c r="D640" s="44"/>
      <c r="E640" s="45"/>
      <c r="F640">
        <v>0</v>
      </c>
    </row>
    <row r="641" spans="2:6" x14ac:dyDescent="0.35">
      <c r="B641" s="43"/>
      <c r="C641" s="44"/>
      <c r="D641" s="44"/>
      <c r="E641" s="45"/>
      <c r="F641">
        <v>0</v>
      </c>
    </row>
    <row r="642" spans="2:6" x14ac:dyDescent="0.35">
      <c r="B642" s="43"/>
      <c r="C642" s="44"/>
      <c r="D642" s="44"/>
      <c r="E642" s="45"/>
      <c r="F642">
        <v>0</v>
      </c>
    </row>
    <row r="643" spans="2:6" x14ac:dyDescent="0.35">
      <c r="B643" s="43"/>
      <c r="C643" s="44"/>
      <c r="D643" s="44"/>
      <c r="E643" s="45"/>
      <c r="F643">
        <v>0</v>
      </c>
    </row>
    <row r="644" spans="2:6" x14ac:dyDescent="0.35">
      <c r="B644" s="43"/>
      <c r="C644" s="44"/>
      <c r="D644" s="44"/>
      <c r="E644" s="45"/>
      <c r="F644">
        <v>0</v>
      </c>
    </row>
    <row r="645" spans="2:6" x14ac:dyDescent="0.35">
      <c r="B645" s="43"/>
      <c r="C645" s="44"/>
      <c r="D645" s="44"/>
      <c r="E645" s="45"/>
      <c r="F645">
        <v>0</v>
      </c>
    </row>
    <row r="646" spans="2:6" x14ac:dyDescent="0.35">
      <c r="B646" s="43"/>
      <c r="C646" s="44"/>
      <c r="D646" s="44"/>
      <c r="E646" s="45"/>
      <c r="F646">
        <v>0</v>
      </c>
    </row>
    <row r="647" spans="2:6" x14ac:dyDescent="0.35">
      <c r="B647" s="43"/>
      <c r="C647" s="44"/>
      <c r="D647" s="44"/>
      <c r="E647" s="45"/>
      <c r="F647">
        <v>0</v>
      </c>
    </row>
    <row r="648" spans="2:6" x14ac:dyDescent="0.35">
      <c r="B648" s="43"/>
      <c r="C648" s="44"/>
      <c r="D648" s="44"/>
      <c r="E648" s="45"/>
      <c r="F648">
        <v>0</v>
      </c>
    </row>
    <row r="649" spans="2:6" x14ac:dyDescent="0.35">
      <c r="B649" s="43"/>
      <c r="C649" s="44"/>
      <c r="D649" s="44"/>
      <c r="E649" s="45"/>
      <c r="F649">
        <v>0</v>
      </c>
    </row>
    <row r="650" spans="2:6" x14ac:dyDescent="0.35">
      <c r="B650" s="43"/>
      <c r="C650" s="44"/>
      <c r="D650" s="44"/>
      <c r="E650" s="45"/>
      <c r="F650">
        <v>0</v>
      </c>
    </row>
    <row r="651" spans="2:6" x14ac:dyDescent="0.35">
      <c r="B651" s="43"/>
      <c r="C651" s="44"/>
      <c r="D651" s="44"/>
      <c r="E651" s="45"/>
      <c r="F651">
        <v>0</v>
      </c>
    </row>
    <row r="652" spans="2:6" x14ac:dyDescent="0.35">
      <c r="B652" s="43"/>
      <c r="C652" s="44"/>
      <c r="D652" s="44"/>
      <c r="E652" s="45"/>
      <c r="F652">
        <v>0</v>
      </c>
    </row>
    <row r="653" spans="2:6" x14ac:dyDescent="0.35">
      <c r="B653" s="43"/>
      <c r="C653" s="44"/>
      <c r="D653" s="44"/>
      <c r="E653" s="45"/>
      <c r="F653">
        <v>0</v>
      </c>
    </row>
    <row r="654" spans="2:6" x14ac:dyDescent="0.35">
      <c r="B654" s="43"/>
      <c r="C654" s="44"/>
      <c r="D654" s="44"/>
      <c r="E654" s="45"/>
      <c r="F654">
        <v>0</v>
      </c>
    </row>
    <row r="655" spans="2:6" x14ac:dyDescent="0.35">
      <c r="B655" s="43"/>
      <c r="C655" s="44"/>
      <c r="D655" s="44"/>
      <c r="E655" s="45"/>
      <c r="F655">
        <v>0</v>
      </c>
    </row>
    <row r="656" spans="2:6" x14ac:dyDescent="0.35">
      <c r="B656" s="43"/>
      <c r="C656" s="44"/>
      <c r="D656" s="44"/>
      <c r="E656" s="45"/>
      <c r="F656">
        <v>0</v>
      </c>
    </row>
    <row r="657" spans="2:6" x14ac:dyDescent="0.35">
      <c r="B657" s="43"/>
      <c r="C657" s="44"/>
      <c r="D657" s="44"/>
      <c r="E657" s="45"/>
      <c r="F657">
        <v>0</v>
      </c>
    </row>
    <row r="658" spans="2:6" x14ac:dyDescent="0.35">
      <c r="B658" s="43"/>
      <c r="C658" s="44"/>
      <c r="D658" s="44"/>
      <c r="E658" s="45"/>
      <c r="F658">
        <v>0</v>
      </c>
    </row>
    <row r="659" spans="2:6" x14ac:dyDescent="0.35">
      <c r="B659" s="43"/>
      <c r="C659" s="44"/>
      <c r="D659" s="44"/>
      <c r="E659" s="45"/>
      <c r="F659">
        <v>0</v>
      </c>
    </row>
    <row r="660" spans="2:6" x14ac:dyDescent="0.35">
      <c r="B660" s="43"/>
      <c r="C660" s="44"/>
      <c r="D660" s="44"/>
      <c r="E660" s="45"/>
      <c r="F660">
        <v>0</v>
      </c>
    </row>
    <row r="661" spans="2:6" x14ac:dyDescent="0.35">
      <c r="B661" s="43"/>
      <c r="C661" s="44"/>
      <c r="D661" s="44"/>
      <c r="E661" s="45"/>
      <c r="F661">
        <v>0</v>
      </c>
    </row>
    <row r="662" spans="2:6" x14ac:dyDescent="0.35">
      <c r="B662" s="43"/>
      <c r="C662" s="44"/>
      <c r="D662" s="44"/>
      <c r="E662" s="45"/>
      <c r="F662">
        <v>0</v>
      </c>
    </row>
    <row r="663" spans="2:6" x14ac:dyDescent="0.35">
      <c r="B663" s="43"/>
      <c r="C663" s="44"/>
      <c r="D663" s="44"/>
      <c r="E663" s="45"/>
      <c r="F663">
        <v>0</v>
      </c>
    </row>
    <row r="664" spans="2:6" x14ac:dyDescent="0.35">
      <c r="B664" s="43"/>
      <c r="C664" s="44"/>
      <c r="D664" s="44"/>
      <c r="E664" s="45"/>
      <c r="F664">
        <v>0</v>
      </c>
    </row>
    <row r="665" spans="2:6" x14ac:dyDescent="0.35">
      <c r="B665" s="43"/>
      <c r="C665" s="44"/>
      <c r="D665" s="44"/>
      <c r="E665" s="45"/>
      <c r="F665">
        <v>0</v>
      </c>
    </row>
    <row r="666" spans="2:6" x14ac:dyDescent="0.35">
      <c r="B666" s="43"/>
      <c r="C666" s="44"/>
      <c r="D666" s="44"/>
      <c r="E666" s="45"/>
      <c r="F666">
        <v>0</v>
      </c>
    </row>
    <row r="667" spans="2:6" x14ac:dyDescent="0.35">
      <c r="B667" s="43"/>
      <c r="C667" s="44"/>
      <c r="D667" s="44"/>
      <c r="E667" s="45"/>
      <c r="F667">
        <v>0</v>
      </c>
    </row>
    <row r="668" spans="2:6" x14ac:dyDescent="0.35">
      <c r="B668" s="43"/>
      <c r="C668" s="44"/>
      <c r="D668" s="44"/>
      <c r="E668" s="45"/>
      <c r="F668">
        <v>0</v>
      </c>
    </row>
    <row r="669" spans="2:6" x14ac:dyDescent="0.35">
      <c r="B669" s="43"/>
      <c r="C669" s="44"/>
      <c r="D669" s="44"/>
      <c r="E669" s="45"/>
      <c r="F669">
        <v>0</v>
      </c>
    </row>
    <row r="670" spans="2:6" x14ac:dyDescent="0.35">
      <c r="B670" s="43"/>
      <c r="C670" s="44"/>
      <c r="D670" s="44"/>
      <c r="E670" s="45"/>
      <c r="F670">
        <v>0</v>
      </c>
    </row>
    <row r="671" spans="2:6" x14ac:dyDescent="0.35">
      <c r="B671" s="43"/>
      <c r="C671" s="44"/>
      <c r="D671" s="44"/>
      <c r="E671" s="45"/>
      <c r="F671">
        <v>0</v>
      </c>
    </row>
    <row r="672" spans="2:6" x14ac:dyDescent="0.35">
      <c r="B672" s="43"/>
      <c r="C672" s="44"/>
      <c r="D672" s="44"/>
      <c r="E672" s="45"/>
      <c r="F672">
        <v>0</v>
      </c>
    </row>
    <row r="673" spans="2:6" x14ac:dyDescent="0.35">
      <c r="B673" s="43"/>
      <c r="C673" s="44"/>
      <c r="D673" s="44"/>
      <c r="E673" s="45"/>
      <c r="F673">
        <v>0</v>
      </c>
    </row>
    <row r="674" spans="2:6" x14ac:dyDescent="0.35">
      <c r="B674" s="43"/>
      <c r="C674" s="44"/>
      <c r="D674" s="44"/>
      <c r="E674" s="45"/>
      <c r="F674">
        <v>0</v>
      </c>
    </row>
    <row r="675" spans="2:6" x14ac:dyDescent="0.35">
      <c r="B675" s="43"/>
      <c r="C675" s="44"/>
      <c r="D675" s="44"/>
      <c r="E675" s="45"/>
      <c r="F675">
        <v>0</v>
      </c>
    </row>
    <row r="676" spans="2:6" x14ac:dyDescent="0.35">
      <c r="B676" s="46"/>
      <c r="C676" s="47"/>
      <c r="D676" s="47"/>
      <c r="E676" s="48"/>
      <c r="F676">
        <v>0</v>
      </c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2D196-DF59-4E4B-B876-AA259253F100}">
  <sheetPr>
    <tabColor theme="1" tint="0.749992370372631"/>
  </sheetPr>
  <dimension ref="A1:C40"/>
  <sheetViews>
    <sheetView workbookViewId="0">
      <selection activeCell="B7" sqref="B7"/>
    </sheetView>
  </sheetViews>
  <sheetFormatPr defaultRowHeight="18" x14ac:dyDescent="0.35"/>
  <cols>
    <col min="1" max="1" width="66.109375" bestFit="1" customWidth="1"/>
    <col min="2" max="2" width="56.21875" bestFit="1" customWidth="1"/>
  </cols>
  <sheetData>
    <row r="1" spans="1:3" x14ac:dyDescent="0.35">
      <c r="A1" t="s">
        <v>125</v>
      </c>
      <c r="B1" t="s">
        <v>126</v>
      </c>
      <c r="C1" t="s">
        <v>133</v>
      </c>
    </row>
    <row r="2" spans="1:3" x14ac:dyDescent="0.35">
      <c r="A2" t="s">
        <v>78</v>
      </c>
      <c r="B2" t="s">
        <v>79</v>
      </c>
      <c r="C2" t="s">
        <v>134</v>
      </c>
    </row>
    <row r="3" spans="1:3" x14ac:dyDescent="0.35">
      <c r="A3" t="s">
        <v>78</v>
      </c>
      <c r="B3" t="s">
        <v>80</v>
      </c>
      <c r="C3" t="s">
        <v>134</v>
      </c>
    </row>
    <row r="4" spans="1:3" x14ac:dyDescent="0.35">
      <c r="A4" t="s">
        <v>78</v>
      </c>
      <c r="B4" t="s">
        <v>81</v>
      </c>
      <c r="C4" t="s">
        <v>134</v>
      </c>
    </row>
    <row r="5" spans="1:3" x14ac:dyDescent="0.35">
      <c r="A5" t="s">
        <v>82</v>
      </c>
      <c r="B5" t="s">
        <v>83</v>
      </c>
      <c r="C5" t="s">
        <v>135</v>
      </c>
    </row>
    <row r="6" spans="1:3" x14ac:dyDescent="0.35">
      <c r="A6" t="s">
        <v>82</v>
      </c>
      <c r="B6" t="s">
        <v>84</v>
      </c>
      <c r="C6" t="s">
        <v>135</v>
      </c>
    </row>
    <row r="7" spans="1:3" x14ac:dyDescent="0.35">
      <c r="A7" t="s">
        <v>82</v>
      </c>
      <c r="B7" t="s">
        <v>85</v>
      </c>
      <c r="C7" t="s">
        <v>136</v>
      </c>
    </row>
    <row r="8" spans="1:3" x14ac:dyDescent="0.35">
      <c r="A8" t="s">
        <v>82</v>
      </c>
      <c r="B8" t="s">
        <v>86</v>
      </c>
      <c r="C8" t="s">
        <v>135</v>
      </c>
    </row>
    <row r="9" spans="1:3" x14ac:dyDescent="0.35">
      <c r="A9" t="s">
        <v>82</v>
      </c>
      <c r="B9" t="s">
        <v>87</v>
      </c>
      <c r="C9" t="s">
        <v>135</v>
      </c>
    </row>
    <row r="10" spans="1:3" x14ac:dyDescent="0.35">
      <c r="A10" t="s">
        <v>82</v>
      </c>
      <c r="B10" t="s">
        <v>88</v>
      </c>
      <c r="C10" t="s">
        <v>137</v>
      </c>
    </row>
    <row r="11" spans="1:3" x14ac:dyDescent="0.35">
      <c r="A11" t="s">
        <v>82</v>
      </c>
      <c r="B11" t="s">
        <v>89</v>
      </c>
      <c r="C11" t="s">
        <v>141</v>
      </c>
    </row>
    <row r="12" spans="1:3" x14ac:dyDescent="0.35">
      <c r="A12" t="s">
        <v>90</v>
      </c>
      <c r="B12" t="s">
        <v>91</v>
      </c>
      <c r="C12" t="s">
        <v>138</v>
      </c>
    </row>
    <row r="13" spans="1:3" x14ac:dyDescent="0.35">
      <c r="A13" t="s">
        <v>90</v>
      </c>
      <c r="B13" t="s">
        <v>92</v>
      </c>
      <c r="C13" t="s">
        <v>138</v>
      </c>
    </row>
    <row r="14" spans="1:3" x14ac:dyDescent="0.35">
      <c r="A14" t="s">
        <v>90</v>
      </c>
      <c r="B14" t="s">
        <v>93</v>
      </c>
      <c r="C14" t="s">
        <v>138</v>
      </c>
    </row>
    <row r="15" spans="1:3" x14ac:dyDescent="0.35">
      <c r="A15" t="s">
        <v>90</v>
      </c>
      <c r="B15" t="s">
        <v>94</v>
      </c>
      <c r="C15" t="s">
        <v>142</v>
      </c>
    </row>
    <row r="16" spans="1:3" x14ac:dyDescent="0.35">
      <c r="A16" t="s">
        <v>90</v>
      </c>
      <c r="B16" t="s">
        <v>95</v>
      </c>
      <c r="C16" t="s">
        <v>139</v>
      </c>
    </row>
    <row r="17" spans="1:3" x14ac:dyDescent="0.35">
      <c r="A17" t="s">
        <v>90</v>
      </c>
      <c r="B17" t="s">
        <v>96</v>
      </c>
      <c r="C17" t="s">
        <v>143</v>
      </c>
    </row>
    <row r="18" spans="1:3" x14ac:dyDescent="0.35">
      <c r="A18" t="s">
        <v>90</v>
      </c>
      <c r="B18" t="s">
        <v>97</v>
      </c>
      <c r="C18" t="s">
        <v>139</v>
      </c>
    </row>
    <row r="19" spans="1:3" x14ac:dyDescent="0.35">
      <c r="A19" t="s">
        <v>90</v>
      </c>
      <c r="B19" t="s">
        <v>98</v>
      </c>
      <c r="C19" t="s">
        <v>142</v>
      </c>
    </row>
    <row r="20" spans="1:3" x14ac:dyDescent="0.35">
      <c r="A20" t="s">
        <v>99</v>
      </c>
      <c r="B20" t="s">
        <v>100</v>
      </c>
      <c r="C20" t="s">
        <v>140</v>
      </c>
    </row>
    <row r="21" spans="1:3" x14ac:dyDescent="0.35">
      <c r="A21" t="s">
        <v>99</v>
      </c>
      <c r="B21" t="s">
        <v>101</v>
      </c>
      <c r="C21" t="s">
        <v>140</v>
      </c>
    </row>
    <row r="22" spans="1:3" x14ac:dyDescent="0.35">
      <c r="A22" t="s">
        <v>99</v>
      </c>
      <c r="B22" t="s">
        <v>102</v>
      </c>
      <c r="C22" t="s">
        <v>140</v>
      </c>
    </row>
    <row r="23" spans="1:3" x14ac:dyDescent="0.35">
      <c r="A23" t="s">
        <v>99</v>
      </c>
      <c r="B23" t="s">
        <v>103</v>
      </c>
      <c r="C23" t="s">
        <v>144</v>
      </c>
    </row>
    <row r="24" spans="1:3" x14ac:dyDescent="0.35">
      <c r="A24" t="s">
        <v>99</v>
      </c>
      <c r="B24" t="s">
        <v>104</v>
      </c>
      <c r="C24" t="s">
        <v>140</v>
      </c>
    </row>
    <row r="25" spans="1:3" x14ac:dyDescent="0.35">
      <c r="A25" t="s">
        <v>105</v>
      </c>
      <c r="B25" t="s">
        <v>106</v>
      </c>
      <c r="C25" t="s">
        <v>145</v>
      </c>
    </row>
    <row r="26" spans="1:3" x14ac:dyDescent="0.35">
      <c r="A26" t="s">
        <v>105</v>
      </c>
      <c r="B26" t="s">
        <v>107</v>
      </c>
      <c r="C26" t="s">
        <v>145</v>
      </c>
    </row>
    <row r="27" spans="1:3" x14ac:dyDescent="0.35">
      <c r="A27" t="s">
        <v>105</v>
      </c>
      <c r="B27" t="s">
        <v>108</v>
      </c>
      <c r="C27" t="s">
        <v>145</v>
      </c>
    </row>
    <row r="28" spans="1:3" x14ac:dyDescent="0.35">
      <c r="A28" t="s">
        <v>105</v>
      </c>
      <c r="B28" t="s">
        <v>109</v>
      </c>
      <c r="C28" t="s">
        <v>146</v>
      </c>
    </row>
    <row r="29" spans="1:3" x14ac:dyDescent="0.35">
      <c r="A29" t="s">
        <v>105</v>
      </c>
      <c r="B29" t="s">
        <v>110</v>
      </c>
      <c r="C29" t="s">
        <v>145</v>
      </c>
    </row>
    <row r="30" spans="1:3" x14ac:dyDescent="0.35">
      <c r="A30" t="s">
        <v>111</v>
      </c>
      <c r="B30" t="s">
        <v>112</v>
      </c>
      <c r="C30" t="s">
        <v>147</v>
      </c>
    </row>
    <row r="31" spans="1:3" x14ac:dyDescent="0.35">
      <c r="A31" t="s">
        <v>111</v>
      </c>
      <c r="B31" t="s">
        <v>113</v>
      </c>
      <c r="C31" t="s">
        <v>147</v>
      </c>
    </row>
    <row r="32" spans="1:3" x14ac:dyDescent="0.35">
      <c r="A32" t="s">
        <v>111</v>
      </c>
      <c r="B32" t="s">
        <v>114</v>
      </c>
      <c r="C32" t="s">
        <v>147</v>
      </c>
    </row>
    <row r="33" spans="1:3" x14ac:dyDescent="0.35">
      <c r="A33" t="s">
        <v>111</v>
      </c>
      <c r="B33" t="s">
        <v>115</v>
      </c>
      <c r="C33" t="s">
        <v>147</v>
      </c>
    </row>
    <row r="34" spans="1:3" x14ac:dyDescent="0.35">
      <c r="A34" t="s">
        <v>116</v>
      </c>
      <c r="B34" t="s">
        <v>117</v>
      </c>
      <c r="C34" t="s">
        <v>148</v>
      </c>
    </row>
    <row r="35" spans="1:3" x14ac:dyDescent="0.35">
      <c r="A35" t="s">
        <v>116</v>
      </c>
      <c r="B35" t="s">
        <v>118</v>
      </c>
      <c r="C35" t="s">
        <v>148</v>
      </c>
    </row>
    <row r="36" spans="1:3" x14ac:dyDescent="0.35">
      <c r="A36" t="s">
        <v>116</v>
      </c>
      <c r="B36" t="s">
        <v>119</v>
      </c>
      <c r="C36" t="s">
        <v>148</v>
      </c>
    </row>
    <row r="37" spans="1:3" x14ac:dyDescent="0.35">
      <c r="A37" t="s">
        <v>120</v>
      </c>
      <c r="B37" t="s">
        <v>120</v>
      </c>
      <c r="C37" t="s">
        <v>149</v>
      </c>
    </row>
    <row r="38" spans="1:3" x14ac:dyDescent="0.35">
      <c r="A38" t="s">
        <v>121</v>
      </c>
      <c r="B38" t="s">
        <v>122</v>
      </c>
      <c r="C38" t="s">
        <v>150</v>
      </c>
    </row>
    <row r="39" spans="1:3" x14ac:dyDescent="0.35">
      <c r="A39" t="s">
        <v>121</v>
      </c>
      <c r="B39" t="s">
        <v>123</v>
      </c>
      <c r="C39" t="s">
        <v>150</v>
      </c>
    </row>
    <row r="40" spans="1:3" x14ac:dyDescent="0.35">
      <c r="A40" t="s">
        <v>121</v>
      </c>
      <c r="B40" t="s">
        <v>124</v>
      </c>
      <c r="C40" t="s">
        <v>150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D2C17-1A96-495A-A6EE-E3BE98E820C5}">
  <sheetPr>
    <tabColor theme="1" tint="0.749992370372631"/>
  </sheetPr>
  <dimension ref="C2:E23"/>
  <sheetViews>
    <sheetView showGridLines="0" zoomScaleNormal="100" workbookViewId="0">
      <selection activeCell="E7" sqref="E7"/>
    </sheetView>
  </sheetViews>
  <sheetFormatPr defaultRowHeight="18" x14ac:dyDescent="0.35"/>
  <cols>
    <col min="3" max="3" width="24.44140625" bestFit="1" customWidth="1"/>
    <col min="4" max="4" width="38.33203125" bestFit="1" customWidth="1"/>
    <col min="5" max="5" width="66.109375" bestFit="1" customWidth="1"/>
  </cols>
  <sheetData>
    <row r="2" spans="3:5" x14ac:dyDescent="0.35">
      <c r="D2" s="5" t="s">
        <v>8</v>
      </c>
      <c r="E2" s="18" t="s">
        <v>7</v>
      </c>
    </row>
    <row r="4" spans="3:5" x14ac:dyDescent="0.35">
      <c r="C4" s="9" t="s">
        <v>2</v>
      </c>
      <c r="D4" s="9" t="s">
        <v>4</v>
      </c>
      <c r="E4" s="9" t="s">
        <v>3</v>
      </c>
    </row>
    <row r="5" spans="3:5" x14ac:dyDescent="0.35">
      <c r="C5" s="37" t="s">
        <v>131</v>
      </c>
      <c r="D5" s="37" t="s">
        <v>132</v>
      </c>
      <c r="E5" s="37" t="e">
        <f>IF(OR(Balises!$E$8&gt;=1,Balises!$E$9&gt;=1),Balises!$E$2,"")</f>
        <v>#REF!</v>
      </c>
    </row>
    <row r="6" spans="3:5" x14ac:dyDescent="0.35">
      <c r="C6" s="12" t="s">
        <v>16</v>
      </c>
      <c r="D6" s="12" t="s">
        <v>17</v>
      </c>
      <c r="E6" s="11" t="e">
        <f>s_produit</f>
        <v>#REF!</v>
      </c>
    </row>
    <row r="7" spans="3:5" x14ac:dyDescent="0.35">
      <c r="C7" s="12" t="s">
        <v>54</v>
      </c>
      <c r="D7" s="12" t="s">
        <v>55</v>
      </c>
      <c r="E7" s="29" t="e">
        <f>INDEX(Performance[siren],MATCH(Entreprise,#REF!,0))</f>
        <v>#REF!</v>
      </c>
    </row>
    <row r="8" spans="3:5" x14ac:dyDescent="0.35">
      <c r="C8" s="12" t="s">
        <v>63</v>
      </c>
      <c r="D8" s="12" t="s">
        <v>23</v>
      </c>
      <c r="E8" s="27" t="e">
        <f>Analyse!$AA$4</f>
        <v>#REF!</v>
      </c>
    </row>
    <row r="9" spans="3:5" x14ac:dyDescent="0.35">
      <c r="C9" s="12" t="s">
        <v>156</v>
      </c>
      <c r="D9" s="12" t="s">
        <v>157</v>
      </c>
      <c r="E9" s="27" t="e">
        <f>Analyse!$AA$5</f>
        <v>#REF!</v>
      </c>
    </row>
    <row r="10" spans="3:5" x14ac:dyDescent="0.35">
      <c r="C10" s="12" t="s">
        <v>67</v>
      </c>
      <c r="D10" s="12" t="s">
        <v>158</v>
      </c>
      <c r="E10" s="26" t="e">
        <f>SUMIFS(Performance[Resultat_net],#REF!,Entreprise,Performance[date_cloture_exercice],Analyse!$E$3)</f>
        <v>#REF!</v>
      </c>
    </row>
    <row r="11" spans="3:5" x14ac:dyDescent="0.35">
      <c r="C11" s="12" t="s">
        <v>154</v>
      </c>
      <c r="D11" s="12" t="s">
        <v>155</v>
      </c>
      <c r="E11" s="26" t="e">
        <f>INDEX(_xlfn.ANCHORARRAY(Analyse!$C$7),MATCH($E$15,_xlfn.ANCHORARRAY(Analyse!$E$7),0))</f>
        <v>#REF!</v>
      </c>
    </row>
    <row r="12" spans="3:5" x14ac:dyDescent="0.35">
      <c r="C12" s="12" t="s">
        <v>56</v>
      </c>
      <c r="D12" s="12" t="s">
        <v>65</v>
      </c>
      <c r="E12" s="31" t="str">
        <f>Analyse!$G$4</f>
        <v>NA</v>
      </c>
    </row>
    <row r="13" spans="3:5" x14ac:dyDescent="0.35">
      <c r="C13" s="12" t="s">
        <v>57</v>
      </c>
      <c r="D13" s="12" t="s">
        <v>66</v>
      </c>
      <c r="E13" s="31" t="str">
        <f>Analyse!$R$4</f>
        <v>NA</v>
      </c>
    </row>
    <row r="14" spans="3:5" x14ac:dyDescent="0.35">
      <c r="C14" s="12" t="s">
        <v>58</v>
      </c>
      <c r="D14" s="12" t="s">
        <v>60</v>
      </c>
      <c r="E14" s="32" t="e">
        <f>MIN(_xlfn.ANCHORARRAY(Analyse!$E$7))</f>
        <v>#REF!</v>
      </c>
    </row>
    <row r="15" spans="3:5" x14ac:dyDescent="0.35">
      <c r="C15" s="12" t="s">
        <v>59</v>
      </c>
      <c r="D15" s="12" t="s">
        <v>61</v>
      </c>
      <c r="E15" s="32" t="e">
        <f>MAX(_xlfn.ANCHORARRAY(Analyse!$E$7))</f>
        <v>#REF!</v>
      </c>
    </row>
    <row r="16" spans="3:5" x14ac:dyDescent="0.35">
      <c r="C16" s="12" t="s">
        <v>127</v>
      </c>
      <c r="D16" s="12"/>
      <c r="E16" s="32" t="e">
        <f>INDEX(#REF!,MATCH(siren,Performance[siren],0))</f>
        <v>#REF!</v>
      </c>
    </row>
    <row r="17" spans="3:5" x14ac:dyDescent="0.35">
      <c r="C17" s="12" t="s">
        <v>128</v>
      </c>
      <c r="D17" s="12"/>
      <c r="E17" s="32" t="e">
        <f>INDEX(#REF!,MATCH(siren,Performance[siren],0))</f>
        <v>#REF!</v>
      </c>
    </row>
    <row r="18" spans="3:5" x14ac:dyDescent="0.35">
      <c r="C18" s="12" t="s">
        <v>151</v>
      </c>
      <c r="D18" s="12"/>
      <c r="E18" s="32" t="e">
        <f>INDEX(Image!$C:$C,MATCH($E$17,Image!B:B,0))</f>
        <v>#REF!</v>
      </c>
    </row>
    <row r="19" spans="3:5" x14ac:dyDescent="0.35">
      <c r="C19" s="12" t="s">
        <v>5</v>
      </c>
      <c r="D19" s="12" t="s">
        <v>43</v>
      </c>
      <c r="E19" s="20">
        <f ca="1">TODAY()</f>
        <v>45935</v>
      </c>
    </row>
    <row r="20" spans="3:5" x14ac:dyDescent="0.35">
      <c r="C20" s="12"/>
      <c r="D20" s="12"/>
      <c r="E20" s="20"/>
    </row>
    <row r="21" spans="3:5" x14ac:dyDescent="0.35">
      <c r="C21" s="10"/>
      <c r="E21" s="11"/>
    </row>
    <row r="22" spans="3:5" x14ac:dyDescent="0.35">
      <c r="C22" s="10"/>
    </row>
    <row r="23" spans="3:5" x14ac:dyDescent="0.35">
      <c r="C23" s="10"/>
      <c r="E23" s="11"/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D94AE-0F52-4E43-9936-FBC5DD02B773}">
  <sheetPr>
    <tabColor theme="1" tint="0.749992370372631"/>
  </sheetPr>
  <dimension ref="B2:E6"/>
  <sheetViews>
    <sheetView showGridLines="0" workbookViewId="0">
      <selection activeCell="D7" sqref="D7"/>
    </sheetView>
  </sheetViews>
  <sheetFormatPr defaultRowHeight="18" x14ac:dyDescent="0.35"/>
  <cols>
    <col min="2" max="2" width="12.21875" bestFit="1" customWidth="1"/>
    <col min="3" max="3" width="10.88671875" customWidth="1"/>
    <col min="4" max="4" width="15.33203125" customWidth="1"/>
    <col min="5" max="5" width="29.88671875" bestFit="1" customWidth="1"/>
  </cols>
  <sheetData>
    <row r="2" spans="2:5" x14ac:dyDescent="0.35">
      <c r="B2" s="2" t="s">
        <v>1</v>
      </c>
      <c r="C2" s="1" t="s">
        <v>152</v>
      </c>
    </row>
    <row r="3" spans="2:5" x14ac:dyDescent="0.35">
      <c r="B3" s="2" t="s">
        <v>0</v>
      </c>
      <c r="C3" s="1" t="s">
        <v>153</v>
      </c>
    </row>
    <row r="5" spans="2:5" x14ac:dyDescent="0.35">
      <c r="B5" s="14" t="s">
        <v>9</v>
      </c>
      <c r="C5" s="14" t="s">
        <v>12</v>
      </c>
      <c r="D5" s="14" t="s">
        <v>13</v>
      </c>
      <c r="E5" s="14" t="s">
        <v>14</v>
      </c>
    </row>
    <row r="6" spans="2:5" x14ac:dyDescent="0.35">
      <c r="B6" s="15" t="s">
        <v>6</v>
      </c>
      <c r="C6" s="16">
        <v>1</v>
      </c>
      <c r="D6" s="17">
        <v>4</v>
      </c>
      <c r="E6" s="15" t="e" cm="1">
        <f t="array" ref="E6">INDEX(Listes!$C$11:$C$676,Loop[[#This Row],[Itération]])</f>
        <v>#REF!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97B2B-0D26-4C64-890A-61ECC1DAE7E9}">
  <dimension ref="B2:AK15"/>
  <sheetViews>
    <sheetView showGridLines="0" topLeftCell="G1" zoomScale="85" zoomScaleNormal="85" workbookViewId="0">
      <selection activeCell="G4" sqref="G4"/>
    </sheetView>
  </sheetViews>
  <sheetFormatPr defaultRowHeight="19.5" x14ac:dyDescent="0.4"/>
  <cols>
    <col min="2" max="2" width="8.88671875" style="22"/>
    <col min="3" max="3" width="13.33203125" style="23" bestFit="1" customWidth="1"/>
    <col min="4" max="4" width="15.77734375" style="24" bestFit="1" customWidth="1"/>
    <col min="5" max="5" width="10.33203125" bestFit="1" customWidth="1"/>
    <col min="6" max="6" width="13" style="26" customWidth="1"/>
    <col min="7" max="7" width="13.109375" customWidth="1"/>
    <col min="13" max="13" width="8.88671875" style="22"/>
    <col min="14" max="14" width="13.33203125" style="23" bestFit="1" customWidth="1"/>
    <col min="15" max="15" width="15.77734375" style="24" bestFit="1" customWidth="1"/>
    <col min="17" max="17" width="13" style="26" customWidth="1"/>
    <col min="18" max="18" width="13.109375" customWidth="1"/>
    <col min="23" max="23" width="8.88671875" style="3"/>
    <col min="33" max="33" width="10.6640625" style="28" bestFit="1" customWidth="1"/>
  </cols>
  <sheetData>
    <row r="2" spans="2:37" x14ac:dyDescent="0.4">
      <c r="E2" s="34" t="e">
        <f>MIN(_xlfn.ANCHORARRAY(B7))</f>
        <v>#REF!</v>
      </c>
      <c r="F2" s="24" t="e">
        <f>MIN(_xlfn.ANCHORARRAY($E$7))</f>
        <v>#REF!</v>
      </c>
      <c r="G2" s="28" t="e">
        <f>INDEX(_xlfn.ANCHORARRAY(C$7),MATCH(F2,_xlfn.ANCHORARRAY(E$7),0))</f>
        <v>#REF!</v>
      </c>
      <c r="Q2" s="24" t="e">
        <f>MIN(_xlfn.ANCHORARRAY($E$7))</f>
        <v>#REF!</v>
      </c>
      <c r="R2" s="28" t="e">
        <f>INDEX(_xlfn.ANCHORARRAY(N$7),MATCH(Q2,_xlfn.ANCHORARRAY(P$7),0))</f>
        <v>#REF!</v>
      </c>
    </row>
    <row r="3" spans="2:37" x14ac:dyDescent="0.4">
      <c r="E3" s="34" t="e">
        <f>MAX(_xlfn.ANCHORARRAY(B7))</f>
        <v>#REF!</v>
      </c>
      <c r="F3" s="24" t="e">
        <f>MAX(_xlfn.ANCHORARRAY($E$7))</f>
        <v>#REF!</v>
      </c>
      <c r="G3" s="28" t="e">
        <f>INDEX(_xlfn.ANCHORARRAY(C$7),MATCH(F3,_xlfn.ANCHORARRAY(E$7),0))</f>
        <v>#REF!</v>
      </c>
      <c r="Q3" s="24" t="e">
        <f>MAX(_xlfn.ANCHORARRAY($E$7))</f>
        <v>#REF!</v>
      </c>
      <c r="R3" s="28" t="e">
        <f>INDEX(_xlfn.ANCHORARRAY(N$7),MATCH(Q3,_xlfn.ANCHORARRAY(P$7),0))</f>
        <v>#REF!</v>
      </c>
      <c r="AH3" t="s">
        <v>72</v>
      </c>
      <c r="AI3" t="s">
        <v>71</v>
      </c>
      <c r="AJ3" t="s">
        <v>73</v>
      </c>
      <c r="AK3" t="s">
        <v>74</v>
      </c>
    </row>
    <row r="4" spans="2:37" x14ac:dyDescent="0.4">
      <c r="B4" s="22" t="e">
        <f>Entreprise</f>
        <v>#REF!</v>
      </c>
      <c r="F4" s="24" t="e">
        <f>"CAGR entre "&amp;$F$2&amp;" et "&amp;$F$3</f>
        <v>#REF!</v>
      </c>
      <c r="G4" s="31" t="str">
        <f>IFERROR((G3/G2)^(1/(F3-F2))-1,"NA")</f>
        <v>NA</v>
      </c>
      <c r="M4" s="22" t="e">
        <f>Entreprise</f>
        <v>#REF!</v>
      </c>
      <c r="Q4" s="24" t="e">
        <f>"CAGR entre "&amp;$F$2&amp;" et "&amp;$F$3</f>
        <v>#REF!</v>
      </c>
      <c r="R4" s="31" t="str">
        <f>IFERROR((R3/R2)^(1/(Q3-Q2))-1,"NA")</f>
        <v>NA</v>
      </c>
      <c r="Z4" t="s">
        <v>69</v>
      </c>
      <c r="AA4" s="33" t="e">
        <f>SUMIFS(Performance[EBE],#REF!,Entreprise,Performance[date_cloture_exercice],$E$3)/
SUMIFS(Performance[Chiffre_d_affaires],#REF!,Entreprise,Performance[date_cloture_exercice],$E$3)</f>
        <v>#REF!</v>
      </c>
      <c r="AB4" s="30" t="e">
        <f>1-AA4</f>
        <v>#REF!</v>
      </c>
      <c r="AE4" t="s">
        <v>46</v>
      </c>
      <c r="AF4" s="28" t="e">
        <f>SUMIFS(Performance[Chiffre_d_affaires],#REF!,Entreprise,Performance[date_cloture_exercice],$E$3)</f>
        <v>#REF!</v>
      </c>
      <c r="AG4" s="35" t="e">
        <f t="shared" ref="AG4:AG10" si="0">AF4/$AF$4</f>
        <v>#REF!</v>
      </c>
      <c r="AH4" s="3" t="e">
        <f>AG4</f>
        <v>#REF!</v>
      </c>
    </row>
    <row r="5" spans="2:37" x14ac:dyDescent="0.4">
      <c r="Z5" t="s">
        <v>68</v>
      </c>
      <c r="AA5" s="33" t="e">
        <f>SUMIFS(Performance[Resultat_net],#REF!,Entreprise,Performance[date_cloture_exercice],$E$3)/
SUMIFS(Performance[Chiffre_d_affaires],#REF!,Entreprise,Performance[date_cloture_exercice],$E$3)</f>
        <v>#REF!</v>
      </c>
      <c r="AB5" s="30" t="e">
        <f>1-AA5</f>
        <v>#REF!</v>
      </c>
      <c r="AE5" t="s">
        <v>75</v>
      </c>
      <c r="AF5" s="28" t="e">
        <f>AF6-AF4</f>
        <v>#REF!</v>
      </c>
      <c r="AG5" s="35" t="e">
        <f t="shared" si="0"/>
        <v>#REF!</v>
      </c>
      <c r="AI5" s="3" t="e">
        <f>AH6</f>
        <v>#REF!</v>
      </c>
      <c r="AJ5" t="e">
        <f>IF($AG5&gt;0,$AG5,0)</f>
        <v>#REF!</v>
      </c>
      <c r="AK5" s="36" t="e">
        <f>ABS(IF($AG5&lt;0,$AG5,0))</f>
        <v>#REF!</v>
      </c>
    </row>
    <row r="6" spans="2:37" x14ac:dyDescent="0.4">
      <c r="B6" s="25" t="s">
        <v>45</v>
      </c>
      <c r="C6" s="26" t="s">
        <v>46</v>
      </c>
      <c r="D6" s="24" t="s">
        <v>47</v>
      </c>
      <c r="E6" s="24" t="s">
        <v>48</v>
      </c>
      <c r="F6" s="26" t="s">
        <v>49</v>
      </c>
      <c r="G6" s="24" t="s">
        <v>50</v>
      </c>
      <c r="H6" s="24" t="s">
        <v>52</v>
      </c>
      <c r="I6" s="24" t="s">
        <v>53</v>
      </c>
      <c r="J6" s="24" t="s">
        <v>51</v>
      </c>
      <c r="K6" s="24"/>
      <c r="M6" s="25" t="s">
        <v>45</v>
      </c>
      <c r="N6" s="26" t="s">
        <v>23</v>
      </c>
      <c r="O6" s="24" t="s">
        <v>47</v>
      </c>
      <c r="P6" s="24" t="s">
        <v>48</v>
      </c>
      <c r="Q6" s="26" t="s">
        <v>49</v>
      </c>
      <c r="R6" s="24" t="s">
        <v>50</v>
      </c>
      <c r="S6" s="24" t="s">
        <v>52</v>
      </c>
      <c r="T6" s="24" t="s">
        <v>53</v>
      </c>
      <c r="U6" s="24" t="s">
        <v>51</v>
      </c>
      <c r="V6" s="24" t="s">
        <v>23</v>
      </c>
      <c r="W6" s="4" t="s">
        <v>62</v>
      </c>
      <c r="AE6" t="s">
        <v>70</v>
      </c>
      <c r="AF6" s="28" t="e">
        <f>SUMIFS(Performance[Marge_brute],#REF!,Entreprise,Performance[date_cloture_exercice],$E$3)</f>
        <v>#REF!</v>
      </c>
      <c r="AG6" s="35" t="e">
        <f t="shared" si="0"/>
        <v>#REF!</v>
      </c>
      <c r="AH6" s="3" t="e">
        <f>AG6</f>
        <v>#REF!</v>
      </c>
      <c r="AK6" s="36"/>
    </row>
    <row r="7" spans="2:37" x14ac:dyDescent="0.4">
      <c r="B7" s="25" t="e" cm="1">
        <f t="array" ref="B7">Années</f>
        <v>#REF!</v>
      </c>
      <c r="C7" s="26" t="e" cm="1">
        <f t="array" ref="C7">SUMIFS(Performance[Chiffre_d_affaires],#REF!,Entreprise,Performance[date_cloture_exercice],_xlfn.ANCHORARRAY($B7))</f>
        <v>#REF!</v>
      </c>
      <c r="D7" s="24" t="e" cm="1">
        <f t="array" ref="D7">IF(_xlfn.ANCHORARRAY($E$7)=$F$2,0,IFERROR(YEAR(INDEX(_xlfn.ANCHORARRAY(B7),_xlfn.SEQUENCE(COUNTA(_xlfn.ANCHORARRAY($B$7)))-1)),0))</f>
        <v>#REF!</v>
      </c>
      <c r="E7" s="24" t="e" cm="1">
        <f t="array" ref="E7">YEAR(_xlfn.ANCHORARRAY(B7))</f>
        <v>#REF!</v>
      </c>
      <c r="F7" s="28" t="e" cm="1">
        <f t="array" ref="F7">IF(_xlfn.ANCHORARRAY($E$7)=$F$2,0,IFERROR(INDEX(_xlfn.ANCHORARRAY($C$7),_xlfn.SEQUENCE(COUNTA(_xlfn.ANCHORARRAY($B$7)))-1),0))</f>
        <v>#REF!</v>
      </c>
      <c r="G7" s="27" cm="1">
        <f t="array" ref="G7">IFERROR((_xlfn.ANCHORARRAY(C7)/_xlfn.ANCHORARRAY(F7))^(1/(_xlfn.ANCHORARRAY(E7)-_xlfn.ANCHORARRAY(D7)))-1,0)</f>
        <v>0</v>
      </c>
      <c r="H7" s="24" t="e" cm="1">
        <f t="array" ref="H7">IF(_xlfn.ANCHORARRAY(G7)&gt;0,1,NA())</f>
        <v>#N/A</v>
      </c>
      <c r="I7" s="24" t="e" cm="1">
        <f t="array" ref="I7">IF(_xlfn.ANCHORARRAY(G7)&lt;0,1,NA())</f>
        <v>#N/A</v>
      </c>
      <c r="J7" t="e" cm="1">
        <f t="array" ref="J7">IF(((_xlfn.ANCHORARRAY(E7)=_xlfn.ANCHORARRAY(D7)+1)+(_xlfn.ANCHORARRAY(D7)=0)&gt;0),"","CAGR "&amp;_xlfn.ANCHORARRAY(D7)&amp;"
")&amp;TEXT(_xlfn.ANCHORARRAY(G7),"+0%;-0%;-")</f>
        <v>#REF!</v>
      </c>
      <c r="K7" s="28"/>
      <c r="M7" s="25" t="e" cm="1">
        <f t="array" ref="M7">Années</f>
        <v>#REF!</v>
      </c>
      <c r="N7" s="26" t="e" cm="1">
        <f t="array" ref="N7">SUMIFS(Performance[EBE],#REF!,Entreprise,Performance[date_cloture_exercice],_xlfn.ANCHORARRAY($B7))</f>
        <v>#REF!</v>
      </c>
      <c r="O7" s="24" t="e" cm="1">
        <f t="array" ref="O7">IF(_xlfn.ANCHORARRAY($E$7)=$F$2,0,IFERROR(YEAR(INDEX(_xlfn.ANCHORARRAY(M7),_xlfn.SEQUENCE(COUNTA(_xlfn.ANCHORARRAY($B$7)))-1)),0))</f>
        <v>#REF!</v>
      </c>
      <c r="P7" s="24" t="e" cm="1">
        <f t="array" ref="P7">YEAR(_xlfn.ANCHORARRAY(M7))</f>
        <v>#REF!</v>
      </c>
      <c r="Q7" s="28" t="e" cm="1">
        <f t="array" ref="Q7">IF(_xlfn.ANCHORARRAY(P7)=$F$2,0,IFERROR(INDEX(_xlfn.ANCHORARRAY(N7),_xlfn.SEQUENCE(COUNTA(_xlfn.ANCHORARRAY(M7)))-1),0))</f>
        <v>#REF!</v>
      </c>
      <c r="R7" s="27" cm="1">
        <f t="array" ref="R7">IFERROR((_xlfn.ANCHORARRAY(N7)/_xlfn.ANCHORARRAY(Q7))^(1/(_xlfn.ANCHORARRAY(P7)-_xlfn.ANCHORARRAY(O7)))-1,0)</f>
        <v>0</v>
      </c>
      <c r="S7" s="24" t="e" cm="1">
        <f t="array" ref="S7">IF(_xlfn.ANCHORARRAY(R7)&gt;0,1,NA())</f>
        <v>#N/A</v>
      </c>
      <c r="T7" s="24" t="e" cm="1">
        <f t="array" ref="T7">IF(_xlfn.ANCHORARRAY(R7)&lt;0,1,NA())</f>
        <v>#N/A</v>
      </c>
      <c r="U7" t="e" cm="1">
        <f t="array" ref="U7">IF(((_xlfn.ANCHORARRAY(P7)=_xlfn.ANCHORARRAY(O7)+1)+(_xlfn.ANCHORARRAY(O7)=0)&gt;0),"","CAGR "&amp;_xlfn.ANCHORARRAY(O7)&amp;"
")&amp;TEXT(_xlfn.ANCHORARRAY(R7),"+0%;-0%;-")</f>
        <v>#REF!</v>
      </c>
      <c r="V7" s="28" t="e" cm="1">
        <f t="array" ref="V7">SUMIFS(Performance[EBE],#REF!,Entreprise,Performance[date_cloture_exercice],_xlfn.ANCHORARRAY($B7))</f>
        <v>#REF!</v>
      </c>
      <c r="W7" s="3" t="e" cm="1">
        <f t="array" ref="W7">_xlfn.ANCHORARRAY(V7)/_xlfn.ANCHORARRAY(C7)</f>
        <v>#REF!</v>
      </c>
      <c r="AE7" t="s">
        <v>76</v>
      </c>
      <c r="AF7" s="28" t="e">
        <f>AF8-AF6</f>
        <v>#REF!</v>
      </c>
      <c r="AG7" s="35" t="e">
        <f t="shared" si="0"/>
        <v>#REF!</v>
      </c>
      <c r="AI7" s="3" t="e">
        <f>AH8</f>
        <v>#REF!</v>
      </c>
      <c r="AJ7" t="e">
        <f>IF($AG7&gt;0,$AG7,0)</f>
        <v>#REF!</v>
      </c>
      <c r="AK7" s="36" t="e">
        <f>ABS(IF($AG7&lt;0,$AG7,0))</f>
        <v>#REF!</v>
      </c>
    </row>
    <row r="8" spans="2:37" x14ac:dyDescent="0.4">
      <c r="B8" s="25"/>
      <c r="C8" s="26"/>
      <c r="E8" s="24"/>
      <c r="F8" s="28"/>
      <c r="G8" s="27"/>
      <c r="H8" s="24"/>
      <c r="I8" s="24"/>
      <c r="K8" s="28"/>
      <c r="M8" s="25"/>
      <c r="N8" s="26"/>
      <c r="P8" s="24"/>
      <c r="Q8" s="28"/>
      <c r="R8" s="27"/>
      <c r="S8" s="24"/>
      <c r="T8" s="24"/>
      <c r="V8" s="28"/>
      <c r="AE8" t="s">
        <v>23</v>
      </c>
      <c r="AF8" s="28" t="e">
        <f>SUMIFS(Performance[EBE],#REF!,Entreprise,Performance[date_cloture_exercice],$E$3)</f>
        <v>#REF!</v>
      </c>
      <c r="AG8" s="35" t="e">
        <f t="shared" si="0"/>
        <v>#REF!</v>
      </c>
      <c r="AH8" s="3" t="e">
        <f>AG8</f>
        <v>#REF!</v>
      </c>
      <c r="AK8" s="36"/>
    </row>
    <row r="9" spans="2:37" x14ac:dyDescent="0.4">
      <c r="B9" s="25"/>
      <c r="C9" s="26"/>
      <c r="E9" s="24"/>
      <c r="F9" s="28"/>
      <c r="G9" s="27"/>
      <c r="H9" s="24"/>
      <c r="I9" s="24"/>
      <c r="K9" s="28"/>
      <c r="M9" s="25"/>
      <c r="N9" s="26"/>
      <c r="P9" s="24"/>
      <c r="Q9" s="28"/>
      <c r="R9" s="27"/>
      <c r="S9" s="24"/>
      <c r="T9" s="24"/>
      <c r="V9" s="28"/>
      <c r="AE9" t="s">
        <v>77</v>
      </c>
      <c r="AF9" s="28" t="e">
        <f>AF10-AF8</f>
        <v>#REF!</v>
      </c>
      <c r="AG9" s="35" t="e">
        <f t="shared" si="0"/>
        <v>#REF!</v>
      </c>
      <c r="AI9" s="3" t="e">
        <f>AH10</f>
        <v>#REF!</v>
      </c>
      <c r="AJ9" t="e">
        <f>IF($AG9&gt;0,$AG9,0)</f>
        <v>#REF!</v>
      </c>
      <c r="AK9" s="36" t="e">
        <f>ABS(IF($AG9&lt;0,$AG9,0))</f>
        <v>#REF!</v>
      </c>
    </row>
    <row r="10" spans="2:37" x14ac:dyDescent="0.4">
      <c r="B10" s="25"/>
      <c r="C10" s="26"/>
      <c r="E10" s="24"/>
      <c r="F10" s="28"/>
      <c r="G10" s="27"/>
      <c r="H10" s="24"/>
      <c r="I10" s="24"/>
      <c r="K10" s="28"/>
      <c r="M10" s="25"/>
      <c r="N10" s="26"/>
      <c r="P10" s="24"/>
      <c r="Q10" s="28"/>
      <c r="R10" s="27"/>
      <c r="S10" s="24"/>
      <c r="T10" s="24"/>
      <c r="V10" s="28"/>
      <c r="AE10" t="s">
        <v>68</v>
      </c>
      <c r="AF10" s="28" t="e">
        <f>SUMIFS(Performance[Resultat_net],#REF!,Entreprise,Performance[date_cloture_exercice],$E$3)</f>
        <v>#REF!</v>
      </c>
      <c r="AG10" s="35" t="e">
        <f t="shared" si="0"/>
        <v>#REF!</v>
      </c>
      <c r="AH10" s="3" t="e">
        <f>AG10</f>
        <v>#REF!</v>
      </c>
    </row>
    <row r="11" spans="2:37" x14ac:dyDescent="0.4">
      <c r="B11" s="25"/>
      <c r="C11" s="26"/>
      <c r="E11" s="24"/>
      <c r="F11" s="28"/>
      <c r="G11" s="27"/>
      <c r="H11" s="24"/>
      <c r="I11" s="24"/>
      <c r="K11" s="28"/>
      <c r="M11" s="25"/>
      <c r="N11" s="26"/>
      <c r="P11" s="24"/>
      <c r="Q11" s="28"/>
      <c r="R11" s="27"/>
      <c r="S11" s="24"/>
      <c r="T11" s="24"/>
      <c r="V11" s="28"/>
    </row>
    <row r="12" spans="2:37" x14ac:dyDescent="0.4">
      <c r="B12" s="25"/>
      <c r="C12" s="26"/>
      <c r="E12" s="24"/>
      <c r="F12" s="28"/>
      <c r="G12" s="27"/>
      <c r="H12" s="24"/>
      <c r="I12" s="24"/>
      <c r="K12" s="28"/>
      <c r="M12" s="25"/>
      <c r="N12" s="26"/>
      <c r="P12" s="24"/>
      <c r="Q12" s="28"/>
      <c r="R12" s="27"/>
      <c r="S12" s="24"/>
      <c r="T12" s="24"/>
      <c r="V12" s="28"/>
    </row>
    <row r="13" spans="2:37" x14ac:dyDescent="0.4">
      <c r="B13" s="25"/>
      <c r="C13" s="26"/>
      <c r="E13" s="24"/>
      <c r="F13" s="28"/>
      <c r="G13" s="27"/>
      <c r="H13" s="24"/>
      <c r="I13" s="24"/>
      <c r="K13" s="28"/>
      <c r="M13" s="25"/>
      <c r="N13" s="26"/>
      <c r="P13" s="24"/>
      <c r="Q13" s="28"/>
      <c r="R13" s="27"/>
      <c r="S13" s="24"/>
      <c r="T13" s="24"/>
      <c r="V13" s="28"/>
    </row>
    <row r="14" spans="2:37" x14ac:dyDescent="0.4">
      <c r="B14" s="25"/>
      <c r="C14" s="26"/>
      <c r="E14" s="24"/>
      <c r="F14" s="28"/>
      <c r="G14" s="27"/>
      <c r="H14" s="24"/>
      <c r="I14" s="24"/>
      <c r="K14" s="28"/>
      <c r="M14" s="25"/>
      <c r="N14" s="26"/>
      <c r="P14" s="24"/>
      <c r="Q14" s="28"/>
      <c r="R14" s="27"/>
      <c r="S14" s="24"/>
      <c r="T14" s="24"/>
      <c r="V14" s="28"/>
    </row>
    <row r="15" spans="2:37" x14ac:dyDescent="0.4">
      <c r="F15" s="28"/>
      <c r="K15" s="28"/>
      <c r="N15" s="26"/>
      <c r="Q15" s="28"/>
      <c r="R15" s="27"/>
      <c r="V15" s="28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3962A-9619-44DB-962F-81CB086A46E9}">
  <dimension ref="A1:A16"/>
  <sheetViews>
    <sheetView showGridLines="0" zoomScale="115" zoomScaleNormal="115" workbookViewId="0">
      <selection activeCell="U4" sqref="U4"/>
    </sheetView>
  </sheetViews>
  <sheetFormatPr defaultRowHeight="18" x14ac:dyDescent="0.35"/>
  <sheetData>
    <row r="1" spans="1:1" x14ac:dyDescent="0.35">
      <c r="A1" t="s">
        <v>15</v>
      </c>
    </row>
    <row r="2" spans="1:1" ht="27" customHeight="1" x14ac:dyDescent="0.35"/>
    <row r="3" spans="1:1" ht="33.75" customHeight="1" x14ac:dyDescent="0.35"/>
    <row r="4" spans="1:1" ht="33.75" customHeight="1" x14ac:dyDescent="0.35"/>
    <row r="5" spans="1:1" ht="33.75" customHeight="1" x14ac:dyDescent="0.35"/>
    <row r="6" spans="1:1" ht="33.75" customHeight="1" x14ac:dyDescent="0.35"/>
    <row r="7" spans="1:1" ht="33.75" customHeight="1" x14ac:dyDescent="0.35"/>
    <row r="8" spans="1:1" ht="33.75" customHeight="1" x14ac:dyDescent="0.35"/>
    <row r="9" spans="1:1" ht="33.75" customHeight="1" x14ac:dyDescent="0.35"/>
    <row r="10" spans="1:1" ht="33.75" customHeight="1" x14ac:dyDescent="0.35"/>
    <row r="11" spans="1:1" ht="33.75" customHeight="1" x14ac:dyDescent="0.35"/>
    <row r="12" spans="1:1" ht="33.75" customHeight="1" x14ac:dyDescent="0.35"/>
    <row r="13" spans="1:1" ht="33.75" customHeight="1" x14ac:dyDescent="0.35"/>
    <row r="14" spans="1:1" ht="33.75" customHeight="1" x14ac:dyDescent="0.35"/>
    <row r="15" spans="1:1" ht="33.75" customHeight="1" x14ac:dyDescent="0.35"/>
    <row r="16" spans="1:1" ht="33.75" customHeight="1" x14ac:dyDescent="0.35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92E2208-F8DE-45BA-AEA6-44E49E837C8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5</vt:i4>
      </vt:variant>
    </vt:vector>
  </HeadingPairs>
  <TitlesOfParts>
    <vt:vector size="14" baseType="lpstr">
      <vt:lpstr>DONNÉES BRUTES</vt:lpstr>
      <vt:lpstr>Performance</vt:lpstr>
      <vt:lpstr>SETTINGS</vt:lpstr>
      <vt:lpstr>Listes</vt:lpstr>
      <vt:lpstr>Image</vt:lpstr>
      <vt:lpstr>Balises</vt:lpstr>
      <vt:lpstr>Charts_settings</vt:lpstr>
      <vt:lpstr>Analyse</vt:lpstr>
      <vt:lpstr>Table</vt:lpstr>
      <vt:lpstr>Entreprise</vt:lpstr>
      <vt:lpstr>Loop_parameters</vt:lpstr>
      <vt:lpstr>Périodes</vt:lpstr>
      <vt:lpstr>s_produit</vt:lpstr>
      <vt:lpstr>siren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Moschetta</dc:creator>
  <cp:lastModifiedBy>Vincent Moschetta</cp:lastModifiedBy>
  <dcterms:created xsi:type="dcterms:W3CDTF">2025-05-21T16:16:46Z</dcterms:created>
  <dcterms:modified xsi:type="dcterms:W3CDTF">2025-10-05T13:56:14Z</dcterms:modified>
</cp:coreProperties>
</file>