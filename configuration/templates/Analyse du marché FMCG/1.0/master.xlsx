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Analyse du marché FMCG\1.0\"/>
    </mc:Choice>
  </mc:AlternateContent>
  <xr:revisionPtr revIDLastSave="0" documentId="13_ncr:1_{6F470F7A-D9AD-462F-B976-1D00CF667893}" xr6:coauthVersionLast="47" xr6:coauthVersionMax="47" xr10:uidLastSave="{00000000-0000-0000-0000-000000000000}"/>
  <bookViews>
    <workbookView xWindow="-120" yWindow="-120" windowWidth="29040" windowHeight="15720" activeTab="1" xr2:uid="{1FFF5854-B54B-4C80-B65C-C43C5EF7384C}"/>
  </bookViews>
  <sheets>
    <sheet name="Data -&gt;" sheetId="52" r:id="rId1"/>
    <sheet name="D001" sheetId="54" r:id="rId2"/>
    <sheet name="D002" sheetId="60" r:id="rId3"/>
    <sheet name="Settings -&gt;" sheetId="51" r:id="rId4"/>
    <sheet name="Paramètrage" sheetId="53" r:id="rId5"/>
    <sheet name="Balises" sheetId="9" r:id="rId6"/>
    <sheet name="Boucles" sheetId="5" r:id="rId7"/>
    <sheet name="Liste" sheetId="49" r:id="rId8"/>
    <sheet name="Tables" sheetId="48" r:id="rId9"/>
    <sheet name="Analyses -&gt;" sheetId="50" r:id="rId10"/>
    <sheet name="CALC_EFFETS" sheetId="56" r:id="rId11"/>
    <sheet name="Sheet4" sheetId="59" r:id="rId12"/>
    <sheet name="Chart" sheetId="57" r:id="rId13"/>
  </sheets>
  <definedNames>
    <definedName name="_xlnm._FilterDatabase" localSheetId="10" hidden="1">CALC_EFFETS!$C$9:$Q$168</definedName>
    <definedName name="B_Marque">Loop[Résultat]</definedName>
    <definedName name="DN_N">_xlfn.ANCHORARRAY(CALC_EFFETS!$P$10)</definedName>
    <definedName name="DN_N_1">_xlfn.ANCHORARRAY(CALC_EFFETS!$J$10)</definedName>
    <definedName name="L_Date">_xlfn.ANCHORARRAY(Liste!$F$7)</definedName>
    <definedName name="L_Famille">_xlfn.ANCHORARRAY(Liste!$C$7)</definedName>
    <definedName name="L_Marques">_xlfn.ANCHORARRAY(Liste!$I$7)</definedName>
    <definedName name="L_Marques_Famille">_xlfn.ANCHORARRAY(Liste!$L$7)</definedName>
    <definedName name="L_Produits_marque">_xlfn.ANCHORARRAY(Liste!#REF!)</definedName>
    <definedName name="Mix_N">_xlfn.ANCHORARRAY(CALC_EFFETS!$O$10)</definedName>
    <definedName name="Mix_N_1">_xlfn.ANCHORARRAY(CALC_EFFETS!$I$10)</definedName>
    <definedName name="Prix_N">_xlfn.ANCHORARRAY(CALC_EFFETS!$N$10)</definedName>
    <definedName name="Prix_N_1">_xlfn.ANCHORARRAY(CALC_EFFETS!$H$10)</definedName>
    <definedName name="S_famille">Balises!$E$12</definedName>
    <definedName name="S_marque">Balises!$E$11</definedName>
    <definedName name="Unité">Balises!$E$13</definedName>
    <definedName name="Ventes_N">_xlfn.ANCHORARRAY(CALC_EFFETS!$L$10)</definedName>
    <definedName name="Ventes_N_1">_xlfn.ANCHORARRAY(CALC_EFFETS!$F$10)</definedName>
    <definedName name="Vol_N">_xlfn.ANCHORARRAY(CALC_EFFETS!$M$10)</definedName>
    <definedName name="Vol_N_1">_xlfn.ANCHORARRAY(CALC_EFFETS!$G$10)</definedName>
    <definedName name="Vol_par_dn_N">_xlfn.ANCHORARRAY(CALC_EFFETS!$Q$10)</definedName>
    <definedName name="Vol_par_dn_N_1">_xlfn.ANCHORARRAY(CALC_EFFETS!$K$10)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9" l="1"/>
  <c r="E9" i="59"/>
  <c r="I8" i="59"/>
  <c r="I9" i="59"/>
  <c r="I14" i="59"/>
  <c r="I11" i="59"/>
  <c r="I10" i="59"/>
  <c r="G9" i="59" l="1"/>
  <c r="Q7" i="49" l="1" a="1"/>
  <c r="Q7" i="49" s="1"/>
  <c r="S7" i="49" a="1"/>
  <c r="S7" i="49" s="1"/>
  <c r="O7" i="49" a="1"/>
  <c r="O7" i="49" s="1"/>
  <c r="Q9" i="56"/>
  <c r="P9" i="56"/>
  <c r="O9" i="56"/>
  <c r="N9" i="56"/>
  <c r="M9" i="56"/>
  <c r="L9" i="56"/>
  <c r="K9" i="56"/>
  <c r="J9" i="56"/>
  <c r="I9" i="56"/>
  <c r="H9" i="56"/>
  <c r="G9" i="56"/>
  <c r="F9" i="56"/>
  <c r="E13" i="9"/>
  <c r="E12" i="9" l="1"/>
  <c r="E8" i="59" s="1"/>
  <c r="I7" i="49" a="1"/>
  <c r="I7" i="49" s="1"/>
  <c r="J7" i="49" s="1" a="1"/>
  <c r="J7" i="49" s="1"/>
  <c r="C7" i="49" a="1"/>
  <c r="C7" i="49" s="1"/>
  <c r="D7" i="49" s="1" a="1"/>
  <c r="D7" i="49" s="1"/>
  <c r="F7" i="49" a="1"/>
  <c r="F7" i="49" s="1"/>
  <c r="G7" i="49" s="1" a="1"/>
  <c r="G7" i="49" s="1"/>
  <c r="E11" i="9"/>
  <c r="E10" i="9"/>
  <c r="E9" i="9"/>
  <c r="L7" i="49" l="1" a="1"/>
  <c r="L7" i="49" s="1"/>
  <c r="M7" i="49" s="1" a="1"/>
  <c r="M7" i="49" s="1"/>
  <c r="E7" i="5" s="1"/>
  <c r="E2" i="59"/>
  <c r="F8" i="59"/>
  <c r="D6" i="57"/>
  <c r="C10" i="56" a="1"/>
  <c r="C10" i="56" s="1"/>
  <c r="J10" i="56" s="1" a="1"/>
  <c r="J10" i="56" s="1"/>
  <c r="F10" i="59" l="1"/>
  <c r="F7" i="5" a="1"/>
  <c r="F7" i="5" s="1"/>
  <c r="C4" i="56" s="1" a="1"/>
  <c r="C4" i="56" s="1"/>
  <c r="C8" i="57" l="1" a="1"/>
  <c r="C8" i="57" s="1"/>
  <c r="D6" i="56" a="1"/>
  <c r="D6" i="56" s="1"/>
  <c r="E14" i="59" a="1"/>
  <c r="E14" i="59" s="1"/>
  <c r="F14" i="59" a="1"/>
  <c r="F14" i="59" s="1"/>
  <c r="F11" i="59" a="1"/>
  <c r="F11" i="59" s="1"/>
  <c r="E3" i="59" a="1"/>
  <c r="E3" i="59" s="1"/>
  <c r="P10" i="56" a="1"/>
  <c r="P10" i="56" s="1"/>
  <c r="M10" i="56" a="1"/>
  <c r="M10" i="56" s="1"/>
  <c r="G10" i="56" a="1"/>
  <c r="G10" i="56" s="1"/>
  <c r="F10" i="56" a="1"/>
  <c r="F10" i="56" s="1"/>
  <c r="F6" i="56" s="1" a="1"/>
  <c r="F6" i="56" s="1"/>
  <c r="L10" i="56" a="1"/>
  <c r="L10" i="56" s="1"/>
  <c r="L6" i="56" s="1" a="1"/>
  <c r="L6" i="56" s="1"/>
  <c r="D10" i="56" a="1"/>
  <c r="D10" i="56" s="1"/>
  <c r="E10" i="56" s="1" a="1"/>
  <c r="E10" i="56" s="1"/>
  <c r="G14" i="59" l="1"/>
  <c r="F22" i="59"/>
  <c r="F7" i="59"/>
  <c r="I10" i="56" a="1"/>
  <c r="I10" i="56" s="1"/>
  <c r="I6" i="56" s="1" a="1"/>
  <c r="I6" i="56" s="1"/>
  <c r="O10" i="56" a="1"/>
  <c r="O10" i="56" s="1"/>
  <c r="O6" i="56" s="1" a="1"/>
  <c r="O6" i="56" s="1"/>
  <c r="M6" i="56" a="1"/>
  <c r="M6" i="56" s="1"/>
  <c r="G6" i="56" a="1"/>
  <c r="G6" i="56" s="1"/>
  <c r="P6" i="56" a="1"/>
  <c r="P6" i="56" s="1"/>
  <c r="J6" i="56" a="1"/>
  <c r="J6" i="56" s="1"/>
  <c r="K10" i="56" a="1"/>
  <c r="K10" i="56" s="1"/>
  <c r="K6" i="56" s="1" a="1"/>
  <c r="K6" i="56" s="1"/>
  <c r="Q10" i="56" a="1"/>
  <c r="Q10" i="56" s="1"/>
  <c r="Q6" i="56" s="1" a="1"/>
  <c r="Q6" i="56" s="1"/>
  <c r="N10" i="56" a="1"/>
  <c r="N10" i="56" s="1"/>
  <c r="N6" i="56" s="1" a="1"/>
  <c r="N6" i="56" s="1"/>
  <c r="H10" i="56" a="1"/>
  <c r="H10" i="56" s="1"/>
  <c r="H6" i="56" s="1" a="1"/>
  <c r="H6" i="56" s="1"/>
  <c r="D13" i="57" l="1" a="1"/>
  <c r="D13" i="57" s="1"/>
  <c r="D11" i="57" a="1"/>
  <c r="D11" i="57" s="1"/>
  <c r="D12" i="57" a="1"/>
  <c r="D12" i="57" s="1"/>
  <c r="D9" i="57" a="1"/>
  <c r="D9" i="57" s="1"/>
  <c r="E9" i="57" s="1"/>
  <c r="F4" i="56" a="1"/>
  <c r="F4" i="56" s="1"/>
  <c r="F5" i="56" s="1"/>
  <c r="D10" i="57" a="1"/>
  <c r="D10" i="57" s="1"/>
  <c r="D14" i="57" a="1"/>
  <c r="D14" i="57" s="1"/>
  <c r="E14" i="57" s="1"/>
  <c r="L4" i="56" a="1"/>
  <c r="L4" i="56" s="1"/>
  <c r="L5" i="56" s="1"/>
  <c r="J9" i="57" l="1"/>
  <c r="G11" i="57"/>
  <c r="J11" i="57"/>
  <c r="H11" i="57"/>
  <c r="H10" i="57"/>
  <c r="G10" i="57"/>
  <c r="J10" i="57"/>
  <c r="J14" i="57"/>
  <c r="G12" i="57"/>
  <c r="J12" i="57"/>
  <c r="H12" i="57"/>
  <c r="H13" i="57"/>
  <c r="G13" i="57"/>
  <c r="J13" i="57"/>
  <c r="F10" i="57" l="1"/>
  <c r="F11" i="57" s="1"/>
  <c r="F12" i="57" s="1"/>
  <c r="F13" i="57" s="1"/>
  <c r="E11" i="59" a="1"/>
  <c r="E11" i="59" s="1"/>
  <c r="E22" i="59" s="1"/>
  <c r="G8" i="59"/>
  <c r="E10" i="59"/>
  <c r="G10" i="59" s="1"/>
  <c r="E7" i="59" l="1"/>
  <c r="G7" i="59" s="1"/>
  <c r="G11" i="5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<sst xmlns="http://schemas.openxmlformats.org/spreadsheetml/2006/main" count="170" uniqueCount="132">
  <si>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</si>
  <si>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</si>
  <si>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</si>
  <si>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</si>
  <si>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</si>
  <si>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</si>
  <si>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</si>
  <si>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</si>
  <si>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</si>
  <si>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</si>
  <si>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</si>
  <si>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</si>
  <si>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</si>
  <si>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</si>
  <si>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</si>
  <si>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</si>
  <si>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</si>
  <si>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</si>
  <si>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</si>
  <si>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FLAG_MARQUE</t>
  </si>
  <si>
    <t>N-1</t>
  </si>
  <si>
    <t>N</t>
  </si>
  <si>
    <t>[Début]</t>
  </si>
  <si>
    <t>Date de début</t>
  </si>
  <si>
    <t>[Date]</t>
  </si>
  <si>
    <t>Derière date</t>
  </si>
  <si>
    <t>Date_fin</t>
  </si>
  <si>
    <t>Année_N</t>
  </si>
  <si>
    <t>Distributeur</t>
  </si>
  <si>
    <t>Enseigne</t>
  </si>
  <si>
    <t>Canal</t>
  </si>
  <si>
    <t>Géographie</t>
  </si>
  <si>
    <t>Région</t>
  </si>
  <si>
    <t>Concurrence</t>
  </si>
  <si>
    <t>Famille</t>
  </si>
  <si>
    <t>Segment</t>
  </si>
  <si>
    <t>Marque</t>
  </si>
  <si>
    <t>Product</t>
  </si>
  <si>
    <t>Produit_détaillé</t>
  </si>
  <si>
    <t>Unité_volume</t>
  </si>
  <si>
    <t>Chiffre_d'affaires</t>
  </si>
  <si>
    <t>Distribution_numérique</t>
  </si>
  <si>
    <t>Prix_moyen</t>
  </si>
  <si>
    <t>Volume</t>
  </si>
  <si>
    <t>[Marque]</t>
  </si>
  <si>
    <t>[Famille]</t>
  </si>
  <si>
    <t>Famille sélectionnée</t>
  </si>
  <si>
    <t>Marque sélectionnée</t>
  </si>
  <si>
    <t>Date</t>
  </si>
  <si>
    <t>Marques</t>
  </si>
  <si>
    <t>Marques_Famille</t>
  </si>
  <si>
    <t>Mix canal</t>
  </si>
  <si>
    <t>Ventes N</t>
  </si>
  <si>
    <t>[Unité]</t>
  </si>
  <si>
    <t>Nature de l'unité</t>
  </si>
  <si>
    <t>Produit</t>
  </si>
  <si>
    <r>
      <rPr>
        <b/>
        <sz val="11"/>
        <color theme="4"/>
        <rFont val="Lato"/>
        <family val="2"/>
      </rPr>
      <t>A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Décomposition de la croissance du chiffre d'affaires sell-out par effet et par marque</t>
    </r>
  </si>
  <si>
    <t>Effet distribution</t>
  </si>
  <si>
    <t>Mix produit</t>
  </si>
  <si>
    <r>
      <rPr>
        <b/>
        <sz val="11"/>
        <color theme="4"/>
        <rFont val="Lato"/>
        <family val="2"/>
      </rPr>
      <t>A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Calcul des effets de marché</t>
    </r>
  </si>
  <si>
    <t>Performance de l'entreprise sans battre ni perdre face au marché</t>
  </si>
  <si>
    <t xml:space="preserve">Marché : </t>
  </si>
  <si>
    <t>CA</t>
  </si>
  <si>
    <t>Total</t>
  </si>
  <si>
    <t>Blank</t>
  </si>
  <si>
    <t>Positive</t>
  </si>
  <si>
    <t>Negative</t>
  </si>
  <si>
    <t>Test</t>
  </si>
  <si>
    <t>Effet 
Distribution</t>
  </si>
  <si>
    <t>Effet 
Volume</t>
  </si>
  <si>
    <t>Effet 
prix</t>
  </si>
  <si>
    <t>Effet 
mix</t>
  </si>
  <si>
    <t>CA 
année N</t>
  </si>
  <si>
    <t>CA 
année N-1</t>
  </si>
  <si>
    <t>S_Marque</t>
  </si>
  <si>
    <t>Parts de machés</t>
  </si>
  <si>
    <t>Prix moyens</t>
  </si>
  <si>
    <t>Catégorie</t>
  </si>
  <si>
    <t>Effet volume / mag</t>
  </si>
  <si>
    <t>Effet prix pur</t>
  </si>
  <si>
    <t>Effet mix mix</t>
  </si>
  <si>
    <t>Mix géographique</t>
  </si>
  <si>
    <t>Volume catégorie</t>
  </si>
  <si>
    <t>Évolution de la demande sur le segment</t>
  </si>
  <si>
    <t>Évolution des parts de marché de la marque.</t>
  </si>
  <si>
    <t>Évolution du prix moyen de la marque.</t>
  </si>
  <si>
    <t>Distributeurs</t>
  </si>
  <si>
    <t>Effet rayon</t>
  </si>
  <si>
    <t>Effet poids catégorie</t>
  </si>
  <si>
    <t>Quelle est la dynamique du rayon ?</t>
  </si>
  <si>
    <t>Comment se porte la catégorie sans son rayon ?</t>
  </si>
  <si>
    <t>Quelle incidence a eu l'évolution de notre distribution sur nos ventes ?</t>
  </si>
  <si>
    <t xml:space="preserve">Quel a été la dynamique concernant nos ventes dans chaque magasin ? </t>
  </si>
  <si>
    <t xml:space="preserve">Comment l'évolution de nos prix a-t-elle modifié notre CA ? </t>
  </si>
  <si>
    <t>Comment le changement de mix de nos ventes a-t-il modifié le CA ?</t>
  </si>
  <si>
    <t>Mix marque</t>
  </si>
  <si>
    <t>Mix distributeur</t>
  </si>
  <si>
    <t>La répartition des ventes entre distributeurs explique-t-elle l'effet mix ?</t>
  </si>
  <si>
    <t>La répartition des ventes entre caneaux de distribution explique-t-elle l'effet mix ?</t>
  </si>
  <si>
    <t>La répartition des ventes entre régions explique-t-elle l'effet mix ?</t>
  </si>
  <si>
    <t>La répartition des ventes entre les marques en portefeuille explique-t-elle l'effet mix ?</t>
  </si>
  <si>
    <t>La répartition des ventes entre produits explique-t-elle l'effet mix ?</t>
  </si>
  <si>
    <t>EVOL</t>
  </si>
  <si>
    <t>Maille</t>
  </si>
  <si>
    <t>Générale</t>
  </si>
  <si>
    <t>Table produit</t>
  </si>
  <si>
    <t>BD</t>
  </si>
  <si>
    <t>Groupe</t>
  </si>
  <si>
    <t>CA_N1_Reel</t>
  </si>
  <si>
    <t>CA_N_Reel</t>
  </si>
  <si>
    <t>Volume_N1</t>
  </si>
  <si>
    <t>Volume_N</t>
  </si>
  <si>
    <t>Effet_Marche_Famille</t>
  </si>
  <si>
    <t>Effet_Marche_Segment</t>
  </si>
  <si>
    <t>Effet_PdM_Groupe</t>
  </si>
  <si>
    <t>Effet_Prix_Pur</t>
  </si>
  <si>
    <t>Effet_Mix_Distributeur</t>
  </si>
  <si>
    <t>Effet_Mix_Canal</t>
  </si>
  <si>
    <t>Effet_Mix_Region</t>
  </si>
  <si>
    <t>Effet_Mix_Marque</t>
  </si>
  <si>
    <t>Effet_Mix_Produit</t>
  </si>
  <si>
    <t>Somme_Effets</t>
  </si>
  <si>
    <t>Delta_CA_Reel</t>
  </si>
  <si>
    <t>Ecart_MECE</t>
  </si>
  <si>
    <t>Croissance_CA</t>
  </si>
  <si>
    <t>Croissance_CA_Pct</t>
  </si>
  <si>
    <t>Croissance_Volume_Pct</t>
  </si>
  <si>
    <t>Prix_Moyen_N1</t>
  </si>
  <si>
    <t>Prix_Moyen_N</t>
  </si>
  <si>
    <t>Evolution_Prix_Pct</t>
  </si>
  <si>
    <t>Ecart_MECE_Pct</t>
  </si>
  <si>
    <t>MECE_OK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</si>
</sst>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164" formatCode="#,##0.0,,&quot;M€&quot;"/>
    <numFmt numFmtId="165" formatCode="#,##0.0"/>
    <numFmt numFmtId="166" formatCode="#,##0,&quot;K&quot;"/>
    <numFmt numFmtId="167" formatCode="#,##0.0,,&quot;M€&quot;;;"/>
    <numFmt numFmtId="168" formatCode="#,##0,&quot;K&quot;;;"/>
    <numFmt numFmtId="169" formatCode="#,##0.0&quot;€&quot;;;"/>
    <numFmt numFmtId="170" formatCode="0%;;"/>
    <numFmt numFmtId="171" formatCode="\+#,##0.0,,&quot;M€&quot;;\-#,##0.0,,&quot;M€&quot;;\-"/>
    <numFmt numFmtId="172" formatCode="0.0%"/>
    <numFmt numFmtId="173" formatCode="\-#,##0.0,,&quot;M€&quot;;\-#,##0.0,,&quot;M€&quot;;\-"/>
  </numFmts>
  <fonts count="12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  <font>
      <b/>
      <sz val="11"/>
      <color theme="3"/>
      <name val="Lato"/>
      <family val="2"/>
    </font>
    <font>
      <b/>
      <u/>
      <sz val="11"/>
      <color theme="3"/>
      <name val="Lato"/>
      <family val="2"/>
    </font>
    <font>
      <sz val="11"/>
      <color theme="0"/>
      <name val="Lato"/>
      <family val="2"/>
    </font>
    <font>
      <i/>
      <sz val="11"/>
      <color theme="0"/>
      <name val="Lato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10" borderId="0" xfId="0" applyFont="1" applyFill="1" applyAlignment="1">
      <alignment horizontal="center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9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8" fillId="8" borderId="0" xfId="0" applyFont="1" applyFill="1" applyAlignment="1">
      <alignment horizontal="center"/>
    </xf>
    <xf numFmtId="0" fontId="9" fillId="8" borderId="0" xfId="0" applyFont="1" applyFill="1"/>
    <xf numFmtId="0" fontId="10" fillId="10" borderId="0" xfId="0" applyFont="1" applyFill="1" applyAlignment="1">
      <alignment horizontal="center"/>
    </xf>
    <xf numFmtId="0" fontId="0" fillId="0" borderId="0" xfId="0" applyAlignment="1">
      <alignment horizontal="left"/>
    </xf>
    <xf numFmtId="167" fontId="0" fillId="0" borderId="2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0" borderId="0" xfId="0" applyNumberFormat="1"/>
    <xf numFmtId="0" fontId="0" fillId="8" borderId="0" xfId="0" applyFill="1"/>
    <xf numFmtId="171" fontId="0" fillId="0" borderId="0" xfId="0" applyNumberFormat="1"/>
    <xf numFmtId="173" fontId="0" fillId="0" borderId="0" xfId="0" applyNumberFormat="1"/>
    <xf numFmtId="167" fontId="0" fillId="0" borderId="0" xfId="0" applyNumberFormat="1" applyAlignment="1">
      <alignment horizontal="center"/>
    </xf>
    <xf numFmtId="0" fontId="10" fillId="10" borderId="0" xfId="0" applyFont="1" applyFill="1" applyAlignment="1">
      <alignment horizontal="left"/>
    </xf>
    <xf numFmtId="0" fontId="10" fillId="10" borderId="0" xfId="0" applyFont="1" applyFill="1"/>
    <xf numFmtId="167" fontId="10" fillId="10" borderId="2" xfId="0" applyNumberFormat="1" applyFont="1" applyFill="1" applyBorder="1" applyAlignment="1">
      <alignment horizontal="center"/>
    </xf>
    <xf numFmtId="168" fontId="10" fillId="10" borderId="0" xfId="0" applyNumberFormat="1" applyFont="1" applyFill="1" applyAlignment="1">
      <alignment horizontal="center"/>
    </xf>
    <xf numFmtId="169" fontId="10" fillId="10" borderId="0" xfId="0" applyNumberFormat="1" applyFont="1" applyFill="1" applyAlignment="1">
      <alignment horizontal="center"/>
    </xf>
    <xf numFmtId="170" fontId="10" fillId="10" borderId="0" xfId="0" applyNumberFormat="1" applyFont="1" applyFill="1" applyAlignment="1">
      <alignment horizontal="center"/>
    </xf>
    <xf numFmtId="3" fontId="10" fillId="10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3" borderId="0" xfId="0" applyFill="1"/>
    <xf numFmtId="0" fontId="1" fillId="14" borderId="0" xfId="0" applyFont="1" applyFill="1"/>
    <xf numFmtId="166" fontId="0" fillId="13" borderId="0" xfId="0" applyNumberFormat="1" applyFill="1" applyAlignment="1">
      <alignment horizontal="center"/>
    </xf>
    <xf numFmtId="9" fontId="0" fillId="13" borderId="0" xfId="0" applyNumberFormat="1" applyFill="1" applyAlignment="1">
      <alignment horizontal="center"/>
    </xf>
    <xf numFmtId="9" fontId="0" fillId="9" borderId="0" xfId="0" applyNumberForma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0" fontId="11" fillId="14" borderId="0" xfId="0" applyFont="1" applyFill="1"/>
    <xf numFmtId="0" fontId="6" fillId="13" borderId="0" xfId="0" applyFont="1" applyFill="1"/>
    <xf numFmtId="0" fontId="6" fillId="5" borderId="0" xfId="0" quotePrefix="1" applyFont="1" applyFill="1"/>
    <xf numFmtId="9" fontId="1" fillId="10" borderId="0" xfId="0" applyNumberFormat="1" applyFont="1" applyFill="1" applyAlignment="1">
      <alignment horizontal="center"/>
    </xf>
    <xf numFmtId="172" fontId="0" fillId="5" borderId="0" xfId="0" applyNumberFormat="1" applyFill="1" applyAlignment="1">
      <alignment horizontal="center"/>
    </xf>
    <xf numFmtId="172" fontId="0" fillId="13" borderId="0" xfId="0" applyNumberFormat="1" applyFill="1" applyAlignment="1">
      <alignment horizontal="center"/>
    </xf>
    <xf numFmtId="0" fontId="1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8" fontId="0" fillId="13" borderId="0" xfId="0" applyNumberFormat="1" applyFill="1" applyAlignment="1">
      <alignment horizontal="center" vertical="center"/>
    </xf>
    <xf numFmtId="9" fontId="0" fillId="13" borderId="0" xfId="0" applyNumberFormat="1" applyFill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" fillId="3" borderId="0" xfId="0" applyFont="1" applyFill="1" applyBorder="1"/>
    <xf numFmtId="0" fontId="0" fillId="4" borderId="1" xfId="0" applyFont="1" applyFill="1" applyBorder="1"/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3CD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3CD"/>
      <color rgb="FFF7D4D8"/>
      <color rgb="FFE2F0D9"/>
      <color rgb="FF576CD4"/>
      <color rgb="FF2FB3B0"/>
      <color rgb="FFE8C912"/>
      <color rgb="FF868A96"/>
      <color rgb="FF000000"/>
      <color rgb="FFEFD431"/>
      <color rgb="FFE77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511343858661984E-2"/>
          <c:y val="3.6103280968572377E-2"/>
          <c:w val="0.94842190219433975"/>
          <c:h val="0.836592854724803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Chart!$C$9:$C$14</c:f>
              <c:strCache>
                <c:ptCount val="6"/>
                <c:pt idx="0">
                  <c:v>CA 
année N-1</c:v>
                </c:pt>
                <c:pt idx="1">
                  <c:v>Effet 
Distribution</c:v>
                </c:pt>
                <c:pt idx="2">
                  <c:v>Effet 
Volume</c:v>
                </c:pt>
                <c:pt idx="3">
                  <c:v>Effet 
prix</c:v>
                </c:pt>
                <c:pt idx="4">
                  <c:v>Effet 
mix</c:v>
                </c:pt>
                <c:pt idx="5">
                  <c:v>CA 
année N</c:v>
                </c:pt>
              </c:strCache>
            </c:strRef>
          </c:cat>
          <c:val>
            <c:numRef>
              <c:f>Chart!$E$9:$E$14</c:f>
              <c:numCache>
                <c:formatCode>General</c:formatCode>
                <c:ptCount val="6"/>
                <c:pt idx="0" formatCode="#\ ##0.0\ \ &quot;M€&quot;;;">
                  <c:v>#N/A</c:v>
                </c:pt>
                <c:pt idx="5" formatCode="#\ ##0.0\ \ &quot;M€&quot;;;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D-4B25-AE6D-C21BF59FB623}"/>
            </c:ext>
          </c:extLst>
        </c:ser>
        <c:ser>
          <c:idx val="1"/>
          <c:order val="1"/>
          <c:tx>
            <c:strRef>
              <c:f>Chart!$F$8</c:f>
              <c:strCache>
                <c:ptCount val="1"/>
                <c:pt idx="0">
                  <c:v>Blank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Chart!$C$9:$C$14</c:f>
              <c:strCache>
                <c:ptCount val="6"/>
                <c:pt idx="0">
                  <c:v>CA 
année N-1</c:v>
                </c:pt>
                <c:pt idx="1">
                  <c:v>Effet 
Distribution</c:v>
                </c:pt>
                <c:pt idx="2">
                  <c:v>Effet 
Volume</c:v>
                </c:pt>
                <c:pt idx="3">
                  <c:v>Effet 
prix</c:v>
                </c:pt>
                <c:pt idx="4">
                  <c:v>Effet 
mix</c:v>
                </c:pt>
                <c:pt idx="5">
                  <c:v>CA 
année N</c:v>
                </c:pt>
              </c:strCache>
            </c:strRef>
          </c:cat>
          <c:val>
            <c:numRef>
              <c:f>Chart!$F$9:$F$14</c:f>
              <c:numCache>
                <c:formatCode>#\ ##0.0\ \ "M€";;</c:formatCode>
                <c:ptCount val="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D-4B25-AE6D-C21BF59FB623}"/>
            </c:ext>
          </c:extLst>
        </c:ser>
        <c:ser>
          <c:idx val="2"/>
          <c:order val="2"/>
          <c:tx>
            <c:strRef>
              <c:f>Chart!$G$8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Chart!$C$9:$C$14</c:f>
              <c:strCache>
                <c:ptCount val="6"/>
                <c:pt idx="0">
                  <c:v>CA 
année N-1</c:v>
                </c:pt>
                <c:pt idx="1">
                  <c:v>Effet 
Distribution</c:v>
                </c:pt>
                <c:pt idx="2">
                  <c:v>Effet 
Volume</c:v>
                </c:pt>
                <c:pt idx="3">
                  <c:v>Effet 
prix</c:v>
                </c:pt>
                <c:pt idx="4">
                  <c:v>Effet 
mix</c:v>
                </c:pt>
                <c:pt idx="5">
                  <c:v>CA 
année N</c:v>
                </c:pt>
              </c:strCache>
            </c:strRef>
          </c:cat>
          <c:val>
            <c:numRef>
              <c:f>Chart!$G$9:$G$14</c:f>
              <c:numCache>
                <c:formatCode>\+#\ ##0.0\ \ "M€";\-#\ ##0.0\ \ "M€";\-</c:formatCode>
                <c:ptCount val="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FD-4B25-AE6D-C21BF59FB623}"/>
            </c:ext>
          </c:extLst>
        </c:ser>
        <c:ser>
          <c:idx val="3"/>
          <c:order val="3"/>
          <c:tx>
            <c:strRef>
              <c:f>Chart!$H$8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Chart!$C$9:$C$14</c:f>
              <c:strCache>
                <c:ptCount val="6"/>
                <c:pt idx="0">
                  <c:v>CA 
année N-1</c:v>
                </c:pt>
                <c:pt idx="1">
                  <c:v>Effet 
Distribution</c:v>
                </c:pt>
                <c:pt idx="2">
                  <c:v>Effet 
Volume</c:v>
                </c:pt>
                <c:pt idx="3">
                  <c:v>Effet 
prix</c:v>
                </c:pt>
                <c:pt idx="4">
                  <c:v>Effet 
mix</c:v>
                </c:pt>
                <c:pt idx="5">
                  <c:v>CA 
année N</c:v>
                </c:pt>
              </c:strCache>
            </c:strRef>
          </c:cat>
          <c:val>
            <c:numRef>
              <c:f>Chart!$H$9:$H$14</c:f>
              <c:numCache>
                <c:formatCode>\-#\ ##0.0\ \ "M€";\-#\ ##0.0\ \ "M€";\-</c:formatCode>
                <c:ptCount val="6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FD-4B25-AE6D-C21BF59FB623}"/>
            </c:ext>
          </c:extLst>
        </c:ser>
        <c:ser>
          <c:idx val="4"/>
          <c:order val="4"/>
          <c:tx>
            <c:strRef>
              <c:f>Chart!$I$8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ptos Black" panose="020B0004020202020204" pitchFamily="34" charset="0"/>
                        <a:ea typeface="+mn-ea"/>
                        <a:cs typeface="+mn-cs"/>
                      </a:defRPr>
                    </a:pPr>
                    <a:fld id="{7394BAAB-3ED8-4D0A-96EB-087DD6BCF8C7}" type="CELLRANGE">
                      <a:rPr lang="en-US"/>
                      <a:pPr>
                        <a:defRPr>
                          <a:latin typeface="Aptos Black" panose="020B0004020202020204" pitchFamily="34" charset="0"/>
                        </a:defRPr>
                      </a:pPr>
                      <a:t>[CELLRANGE]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 Black" panose="020B00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5FD-4B25-AE6D-C21BF59FB6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8E6FCF2-8CA3-4432-83E1-B13423A52C8B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5FD-4B25-AE6D-C21BF59FB6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7F443B-03E9-41ED-8B71-43CCC1BC5E0F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5FD-4B25-AE6D-C21BF59FB6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C86A2A-9015-450F-8513-16FE1D017857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FD-4B25-AE6D-C21BF59FB6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204851-5840-4C0B-86F9-AC2B2796CAD5}" type="CELLRANGE">
                      <a:rPr lang="fr-FR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5FD-4B25-AE6D-C21BF59FB623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ptos Black" panose="020B0004020202020204" pitchFamily="34" charset="0"/>
                        <a:ea typeface="+mn-ea"/>
                        <a:cs typeface="+mn-cs"/>
                      </a:defRPr>
                    </a:pPr>
                    <a:fld id="{E99B0FCA-5CDE-48B8-AE8C-558292417A29}" type="CELLRANGE">
                      <a:rPr lang="fr-FR"/>
                      <a:pPr>
                        <a:defRPr>
                          <a:latin typeface="Aptos Black" panose="020B0004020202020204" pitchFamily="34" charset="0"/>
                        </a:defRPr>
                      </a:pPr>
                      <a:t>[CELLRANGE]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ptos Black" panose="020B000402020202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5FD-4B25-AE6D-C21BF59FB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Chart!$C$9:$C$14</c:f>
              <c:strCache>
                <c:ptCount val="6"/>
                <c:pt idx="0">
                  <c:v>CA 
année N-1</c:v>
                </c:pt>
                <c:pt idx="1">
                  <c:v>Effet 
Distribution</c:v>
                </c:pt>
                <c:pt idx="2">
                  <c:v>Effet 
Volume</c:v>
                </c:pt>
                <c:pt idx="3">
                  <c:v>Effet 
prix</c:v>
                </c:pt>
                <c:pt idx="4">
                  <c:v>Effet 
mix</c:v>
                </c:pt>
                <c:pt idx="5">
                  <c:v>CA 
année N</c:v>
                </c:pt>
              </c:strCache>
            </c:strRef>
          </c:cat>
          <c:val>
            <c:numRef>
              <c:f>Chart!$I$9:$I$14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Chart!$J$9:$J$14</c15:f>
                <c15:dlblRangeCache>
                  <c:ptCount val="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5FD-4B25-AE6D-C21BF59FB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5602655"/>
        <c:axId val="125601695"/>
      </c:barChart>
      <c:catAx>
        <c:axId val="12560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125601695"/>
        <c:crosses val="autoZero"/>
        <c:auto val="1"/>
        <c:lblAlgn val="ctr"/>
        <c:lblOffset val="100"/>
        <c:noMultiLvlLbl val="0"/>
      </c:catAx>
      <c:valAx>
        <c:axId val="125601695"/>
        <c:scaling>
          <c:orientation val="minMax"/>
        </c:scaling>
        <c:delete val="1"/>
        <c:axPos val="l"/>
        <c:numFmt formatCode="#\ ##0.0\ \ &quot;M€&quot;;;" sourceLinked="1"/>
        <c:majorTickMark val="none"/>
        <c:minorTickMark val="none"/>
        <c:tickLblPos val="nextTo"/>
        <c:crossAx val="1256026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57150</xdr:rowOff>
    </xdr:from>
    <xdr:to>
      <xdr:col>7</xdr:col>
      <xdr:colOff>664053</xdr:colOff>
      <xdr:row>20</xdr:row>
      <xdr:rowOff>163573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54896A-AC77-ED8C-2880-D83B5CE1F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DA2-BE41-4833-95AE-E03345808784}" name="BD" displayName="BD" ref="C2:W3" totalsRowShown="0">
  <autoFilter ref="C2:W3" xr:uid="{F1D1CDA2-BE41-4833-95AE-E03345808784}"/>
  <tableColumns count="21">
    <tableColumn id="1" xr3:uid="{2AF23DEC-33F1-4F2D-A120-B988E8E881DF}" name="Date_début"/>
    <tableColumn id="2" xr3:uid="{5CF8267C-D26B-48A6-9D84-A8751D4DB6DE}" name="Date_fin"/>
    <tableColumn id="3" xr3:uid="{992E933D-3697-42A3-842F-EE57DF197C24}" name="Année_N"/>
    <tableColumn id="4" xr3:uid="{D08FD4CE-4463-4575-9E62-37D0EC4A0806}" name="Distributeur"/>
    <tableColumn id="5" xr3:uid="{0E4649C8-915F-4177-BA0E-53C9DE0762FF}" name="Enseigne"/>
    <tableColumn id="6" xr3:uid="{7A4AC7D7-8708-45DE-A382-540F96473633}" name="Canal"/>
    <tableColumn id="7" xr3:uid="{E3A1C7D0-8F82-4081-801D-E97619F39D53}" name="Géographie"/>
    <tableColumn id="8" xr3:uid="{9C83BA79-1B82-4C00-99E0-7D1E471C8FC4}" name="Région"/>
    <tableColumn id="9" xr3:uid="{C5F37363-0343-43DB-9E1E-C56574DA9FF1}" name="Concurrence"/>
    <tableColumn id="10" xr3:uid="{667799CD-1313-4956-A23D-E7C2819F74FE}" name="Famille"/>
    <tableColumn id="11" xr3:uid="{47077DFC-079E-444E-91A2-1716C6CB4AE5}" name="Segment"/>
    <tableColumn id="12" xr3:uid="{C221C494-F4C2-4BF9-9D9F-862AAA7B77AE}" name="Marque"/>
    <tableColumn id="13" xr3:uid="{4B49EE51-27D2-4C2B-92BA-E9D66A1C501A}" name="Groupe"/>
    <tableColumn id="14" xr3:uid="{A7EF90A9-7E3D-4669-91F5-8C90AC57B606}" name="Product"/>
    <tableColumn id="15" xr3:uid="{D70D9F20-2399-4843-BFBE-896B17355709}" name="Produit_détaillé"/>
    <tableColumn id="16" xr3:uid="{E8CD6DB4-76E2-4177-8FDE-FAA66104D67C}" name="Unité_volume"/>
    <tableColumn id="17" xr3:uid="{BB0CD945-D436-4EF2-ACA5-B494243C81BB}" name="Chiffre_d'affaires"/>
    <tableColumn id="18" xr3:uid="{BB472B57-5A2C-4FE6-8D1D-2570C8F8E0EC}" name="Distribution_numérique"/>
    <tableColumn id="19" xr3:uid="{31D9326B-D310-401A-8990-21ADC034D16E}" name="Prix_moyen"/>
    <tableColumn id="20" xr3:uid="{D711D3BD-7613-4A4E-B7B4-A0F5F1A174B1}" name="Volume"/>
    <tableColumn id="22" xr3:uid="{D4A5D14B-058D-4EFE-A706-6C194E87196F}" name="FLAG_MARQ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2C83FC-3E11-4399-9DDD-ABF46FF39100}" name="BD_Effets" displayName="BD_Effets" ref="B3:AC4" totalsRowShown="0" headerRowDxfId="0" dataDxfId="1" tableBorderDxfId="30">
  <autoFilter ref="B3:AC4" xr:uid="{7F2C83FC-3E11-4399-9DDD-ABF46FF39100}"/>
  <tableColumns count="28">
    <tableColumn id="1" xr3:uid="{4BE35F11-7763-40BF-B2DE-6D3D35AE7164}" name="Famille" dataDxfId="29"/>
    <tableColumn id="2" xr3:uid="{04BC6E1C-2811-4DE0-88A0-CF54F918BBA3}" name="Segment" dataDxfId="28"/>
    <tableColumn id="3" xr3:uid="{DC400759-565B-4D77-9398-A43C64510E9C}" name="Groupe" dataDxfId="27"/>
    <tableColumn id="4" xr3:uid="{948E0092-06D4-4F81-8F53-7C041113B9CB}" name="Marque" dataDxfId="26"/>
    <tableColumn id="5" xr3:uid="{5DF0CB5D-1970-4E6D-A614-3E4FAB2BEB91}" name="CA_N1_Reel" dataDxfId="25"/>
    <tableColumn id="6" xr3:uid="{22F6DEE2-7F7B-446E-854E-B1691B571B2D}" name="CA_N_Reel" dataDxfId="24"/>
    <tableColumn id="7" xr3:uid="{ADEA19C6-0FFA-475C-B802-E7F89104B370}" name="Volume_N1" dataDxfId="23"/>
    <tableColumn id="8" xr3:uid="{543C4679-6022-436B-B2C7-98B02D637D70}" name="Volume_N" dataDxfId="22"/>
    <tableColumn id="9" xr3:uid="{315498C9-9463-4374-9808-D52E27BB526A}" name="Effet_Marche_Famille" dataDxfId="21"/>
    <tableColumn id="10" xr3:uid="{D021401A-E739-402D-831A-58E31C2076B0}" name="Effet_Marche_Segment" dataDxfId="20"/>
    <tableColumn id="11" xr3:uid="{C9FAEB77-AA9B-486C-B79E-EF04D3F4ED68}" name="Effet_PdM_Groupe" dataDxfId="19"/>
    <tableColumn id="12" xr3:uid="{AA6886AC-0A01-461B-8CA6-0E8E282168B1}" name="Effet_Prix_Pur" dataDxfId="18"/>
    <tableColumn id="13" xr3:uid="{3ABE1458-2204-4795-B1F4-8B634FE35EAA}" name="Effet_Mix_Distributeur" dataDxfId="17"/>
    <tableColumn id="14" xr3:uid="{C069E295-1C27-4510-ADED-E89A396B3735}" name="Effet_Mix_Canal" dataDxfId="16"/>
    <tableColumn id="15" xr3:uid="{41D08388-9111-48D5-A9AA-A76BB42BBEDC}" name="Effet_Mix_Region" dataDxfId="15"/>
    <tableColumn id="16" xr3:uid="{9ED7BEB4-0BBE-4E2B-86C9-0235A24C3F93}" name="Effet_Mix_Marque" dataDxfId="14"/>
    <tableColumn id="17" xr3:uid="{EA672919-DE35-4740-8425-33AD0F4FFDE4}" name="Effet_Mix_Produit" dataDxfId="13"/>
    <tableColumn id="18" xr3:uid="{74280AA3-43ED-47D3-8D48-92A9DCA2DC39}" name="Somme_Effets" dataDxfId="12"/>
    <tableColumn id="19" xr3:uid="{7F2ECBC7-650B-4984-AB23-F152379B30C3}" name="Delta_CA_Reel" dataDxfId="11"/>
    <tableColumn id="20" xr3:uid="{E00C53CE-DD38-43D8-88C5-28C9E1627EB0}" name="Ecart_MECE" dataDxfId="10"/>
    <tableColumn id="21" xr3:uid="{0C95A3C4-4AA3-4077-9178-E256C407BE4F}" name="Croissance_CA" dataDxfId="9"/>
    <tableColumn id="22" xr3:uid="{44C4B8F4-ACE7-4DD7-AB75-58E9ED0A64FF}" name="Croissance_CA_Pct" dataDxfId="8"/>
    <tableColumn id="23" xr3:uid="{E789A010-541F-43B7-8444-6385EBB23C5E}" name="Croissance_Volume_Pct" dataDxfId="7"/>
    <tableColumn id="24" xr3:uid="{0BFE8113-D0DA-46CD-ABD6-467568501F1E}" name="Prix_Moyen_N1" dataDxfId="6"/>
    <tableColumn id="25" xr3:uid="{7926CD7F-DAD5-4309-9D3C-60857500D1D1}" name="Prix_Moyen_N" dataDxfId="5"/>
    <tableColumn id="26" xr3:uid="{35E60EE7-C6A0-40E8-9355-FFE4EB473A12}" name="Evolution_Prix_Pct" dataDxfId="4"/>
    <tableColumn id="27" xr3:uid="{958FA770-DF1D-4F65-9DD6-DE72FF793A15}" name="Ecart_MECE_Pct" dataDxfId="3"/>
    <tableColumn id="28" xr3:uid="{47305475-EE5E-4DCC-9B65-D2FC4638E10D}" name="MECE_OK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13" totalsRowShown="0" headerRowDxfId="41" dataDxfId="40">
  <autoFilter ref="C8:E13" xr:uid="{C89BB5DB-241A-4587-9795-A53E1DD1BE55}"/>
  <tableColumns count="3">
    <tableColumn id="1" xr3:uid="{6099FD98-ACB2-4E73-9A6A-2452073B93B5}" name="Balise" dataDxfId="39"/>
    <tableColumn id="2" xr3:uid="{10252979-8556-4423-8536-262E39599310}" name="Desc" dataDxfId="38"/>
    <tableColumn id="3" xr3:uid="{38A59B37-8EA6-4A08-B339-21991882C32F}" name="Valeur" dataDxfId="37">
      <calculatedColumnFormula>MIN(BD[Date_début])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36" tableBorderDxfId="35">
  <autoFilter ref="C6:F7" xr:uid="{9D6EACE5-26DB-4F7F-9487-26DB7B53498F}"/>
  <tableColumns count="4">
    <tableColumn id="1" xr3:uid="{57A92AE8-0D79-4270-A771-98B4928EEDE3}" name="ID" dataDxfId="34"/>
    <tableColumn id="2" xr3:uid="{0153B2F4-CF5A-40D7-B52A-8736C7DFED4F}" name="Itération" dataDxfId="33"/>
    <tableColumn id="3" xr3:uid="{C2F670A5-B30E-4FDD-A0FC-6BAE9E92844D}" name="Nombre de tests" dataDxfId="32">
      <calculatedColumnFormula>COUNTIFS(_xlfn.ANCHORARRAY(Liste!$M$7),"&gt;"&amp;0)</calculatedColumnFormula>
    </tableColumn>
    <tableColumn id="4" xr3:uid="{5E26AB54-DDBA-4A1A-B5B5-6BF98CC52480}" name="Résultat" dataDxfId="31">
      <calculatedColumnFormula array="1">INDEX(L_Marques_Famille,Loop[[#This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15B-117E-43F8-8534-6B55E81D4EBA}">
  <sheetPr>
    <tabColor theme="0" tint="-0.14999847407452621"/>
  </sheetPr>
  <dimension ref="C2:W3"/>
  <sheetViews>
    <sheetView showGridLines="0" tabSelected="1" workbookViewId="0">
      <selection activeCell="A3" sqref="A3"/>
    </sheetView>
  </sheetViews>
  <sheetFormatPr defaultRowHeight="18" x14ac:dyDescent="0.35"/>
  <cols>
    <col min="3" max="3" width="11.33203125" customWidth="1"/>
    <col min="4" max="4" width="11.33203125" bestFit="1" customWidth="1"/>
    <col min="5" max="5" width="9.6640625" customWidth="1"/>
    <col min="6" max="6" width="12.109375" customWidth="1"/>
    <col min="7" max="7" width="9.5546875" customWidth="1"/>
    <col min="9" max="9" width="11.6640625" customWidth="1"/>
    <col min="11" max="11" width="12.33203125" customWidth="1"/>
    <col min="13" max="13" width="9.44140625" customWidth="1"/>
    <col min="15" max="15" width="13" customWidth="1"/>
    <col min="16" max="16" width="54.6640625" bestFit="1" customWidth="1"/>
    <col min="17" max="17" width="62" bestFit="1" customWidth="1"/>
    <col min="18" max="18" width="13.33203125" customWidth="1"/>
    <col min="19" max="19" width="15.77734375" customWidth="1"/>
    <col min="20" max="20" width="20.77734375" customWidth="1"/>
    <col min="21" max="21" width="11.77734375" customWidth="1"/>
    <col min="25" max="25" width="12.21875" bestFit="1" customWidth="1"/>
  </cols>
  <sheetData>
    <row r="2" spans="3:23" x14ac:dyDescent="0.35">
      <c r="C2" t="s">
        <v>18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107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19</v>
      </c>
    </row>
    <row r="3" spans="3:23" x14ac:dyDescent="0.35">
      <c r="C3" s="12"/>
      <c r="D3" s="12"/>
      <c r="V3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144D-50DF-42CA-9DF8-5C846BF16875}">
  <dimension ref="B3:AC4"/>
  <sheetViews>
    <sheetView showGridLines="0" topLeftCell="B1" workbookViewId="0">
      <selection activeCell="H7" sqref="H7"/>
    </sheetView>
  </sheetViews>
  <sheetFormatPr defaultRowHeight="18" x14ac:dyDescent="0.35"/>
  <cols>
    <col min="2" max="2" width="11.33203125" customWidth="1"/>
    <col min="3" max="3" width="9.21875" customWidth="1"/>
    <col min="4" max="4" width="9.6640625" customWidth="1"/>
    <col min="5" max="5" width="12.109375" customWidth="1"/>
    <col min="6" max="6" width="11.88671875" customWidth="1"/>
    <col min="7" max="7" width="10.88671875" customWidth="1"/>
    <col min="8" max="8" width="11.6640625" customWidth="1"/>
    <col min="9" max="9" width="10.33203125" customWidth="1"/>
    <col min="10" max="10" width="18.77734375" customWidth="1"/>
    <col min="11" max="11" width="19.88671875" customWidth="1"/>
    <col min="12" max="12" width="16.88671875" customWidth="1"/>
    <col min="13" max="13" width="13.21875" customWidth="1"/>
    <col min="14" max="14" width="19.77734375" customWidth="1"/>
    <col min="15" max="15" width="15" customWidth="1"/>
    <col min="16" max="16" width="15.77734375" customWidth="1"/>
    <col min="17" max="17" width="16.44140625" customWidth="1"/>
    <col min="18" max="18" width="20.77734375" customWidth="1"/>
    <col min="19" max="19" width="20" customWidth="1"/>
    <col min="20" max="20" width="13.6640625" customWidth="1"/>
    <col min="21" max="21" width="11.88671875" customWidth="1"/>
    <col min="22" max="22" width="14.6640625" customWidth="1"/>
    <col min="23" max="23" width="16.88671875" customWidth="1"/>
    <col min="24" max="24" width="20.44140625" customWidth="1"/>
    <col min="25" max="25" width="14.5546875" customWidth="1"/>
    <col min="26" max="26" width="13.5546875" customWidth="1"/>
    <col min="27" max="27" width="16.6640625" customWidth="1"/>
    <col min="28" max="28" width="15.109375" customWidth="1"/>
    <col min="29" max="29" width="10.33203125" customWidth="1"/>
  </cols>
  <sheetData>
    <row r="3" spans="2:29" x14ac:dyDescent="0.35">
      <c r="B3" s="73" t="s">
        <v>34</v>
      </c>
      <c r="C3" s="73" t="s">
        <v>35</v>
      </c>
      <c r="D3" s="73" t="s">
        <v>107</v>
      </c>
      <c r="E3" s="73" t="s">
        <v>36</v>
      </c>
      <c r="F3" s="73" t="s">
        <v>108</v>
      </c>
      <c r="G3" s="73" t="s">
        <v>109</v>
      </c>
      <c r="H3" s="73" t="s">
        <v>110</v>
      </c>
      <c r="I3" s="73" t="s">
        <v>111</v>
      </c>
      <c r="J3" s="73" t="s">
        <v>112</v>
      </c>
      <c r="K3" s="73" t="s">
        <v>113</v>
      </c>
      <c r="L3" s="73" t="s">
        <v>114</v>
      </c>
      <c r="M3" s="73" t="s">
        <v>115</v>
      </c>
      <c r="N3" s="73" t="s">
        <v>116</v>
      </c>
      <c r="O3" s="73" t="s">
        <v>117</v>
      </c>
      <c r="P3" s="73" t="s">
        <v>118</v>
      </c>
      <c r="Q3" s="73" t="s">
        <v>119</v>
      </c>
      <c r="R3" s="73" t="s">
        <v>120</v>
      </c>
      <c r="S3" s="73" t="s">
        <v>121</v>
      </c>
      <c r="T3" s="73" t="s">
        <v>122</v>
      </c>
      <c r="U3" s="73" t="s">
        <v>123</v>
      </c>
      <c r="V3" s="73" t="s">
        <v>124</v>
      </c>
      <c r="W3" s="73" t="s">
        <v>125</v>
      </c>
      <c r="X3" s="73" t="s">
        <v>126</v>
      </c>
      <c r="Y3" s="73" t="s">
        <v>127</v>
      </c>
      <c r="Z3" s="73" t="s">
        <v>128</v>
      </c>
      <c r="AA3" s="73" t="s">
        <v>129</v>
      </c>
      <c r="AB3" s="73" t="s">
        <v>130</v>
      </c>
      <c r="AC3" s="73" t="s">
        <v>131</v>
      </c>
    </row>
    <row r="4" spans="2:29" x14ac:dyDescent="0.35"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4"/>
  <sheetViews>
    <sheetView showGridLines="0" workbookViewId="0">
      <selection activeCell="C5" sqref="C5:E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16</v>
      </c>
    </row>
    <row r="4" spans="3:3" x14ac:dyDescent="0.35">
      <c r="C4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75"/>
  <sheetViews>
    <sheetView showGridLines="0" showRowColHeaders="0" zoomScaleNormal="100" workbookViewId="0">
      <selection activeCell="C14" sqref="C14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8" t="s">
        <v>10</v>
      </c>
    </row>
    <row r="4" spans="2:6" x14ac:dyDescent="0.35">
      <c r="C4" s="9" t="s">
        <v>9</v>
      </c>
    </row>
    <row r="6" spans="2:6" x14ac:dyDescent="0.35">
      <c r="D6" s="7" t="s">
        <v>8</v>
      </c>
      <c r="E6" s="6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11" t="s">
        <v>22</v>
      </c>
      <c r="D9" s="11" t="s">
        <v>23</v>
      </c>
      <c r="E9" s="15">
        <f>MIN(BD[Date_début])</f>
        <v>0</v>
      </c>
      <c r="F9" s="11"/>
    </row>
    <row r="10" spans="2:6" x14ac:dyDescent="0.35">
      <c r="C10" s="11" t="s">
        <v>24</v>
      </c>
      <c r="D10" s="11" t="s">
        <v>25</v>
      </c>
      <c r="E10" s="15">
        <f>MAX(BD[Date_fin])</f>
        <v>0</v>
      </c>
      <c r="F10" s="11"/>
    </row>
    <row r="11" spans="2:6" x14ac:dyDescent="0.35">
      <c r="C11" s="11" t="s">
        <v>44</v>
      </c>
      <c r="D11" s="11" t="s">
        <v>47</v>
      </c>
      <c r="E11" s="15" t="e">
        <f>INDEX(BD[Marque],MATCH(1,BD[FLAG_MARQUE],0))</f>
        <v>#N/A</v>
      </c>
      <c r="F11" s="11"/>
    </row>
    <row r="12" spans="2:6" x14ac:dyDescent="0.35">
      <c r="C12" s="11" t="s">
        <v>45</v>
      </c>
      <c r="D12" s="11" t="s">
        <v>46</v>
      </c>
      <c r="E12" s="15" t="e">
        <f>INDEX(BD[Famille],MATCH(1,BD[FLAG_MARQUE],0))</f>
        <v>#N/A</v>
      </c>
      <c r="F12" s="11"/>
    </row>
    <row r="13" spans="2:6" x14ac:dyDescent="0.35">
      <c r="C13" s="11" t="s">
        <v>53</v>
      </c>
      <c r="D13" s="11" t="s">
        <v>54</v>
      </c>
      <c r="E13" s="15">
        <f>INDEX(BD[Unité_volume],1)</f>
        <v>0</v>
      </c>
      <c r="F13" s="11"/>
    </row>
    <row r="14" spans="2:6" x14ac:dyDescent="0.35">
      <c r="C14" s="11"/>
      <c r="D14" s="11"/>
      <c r="E14" s="11"/>
      <c r="F14" s="11"/>
    </row>
    <row r="15" spans="2:6" x14ac:dyDescent="0.35">
      <c r="C15" s="11"/>
      <c r="D15" s="11"/>
      <c r="E15" s="11"/>
      <c r="F15" s="11"/>
    </row>
    <row r="16" spans="2:6" x14ac:dyDescent="0.35">
      <c r="C16" s="11"/>
      <c r="D16" s="11"/>
      <c r="E16" s="11"/>
      <c r="F16" s="11"/>
    </row>
    <row r="17" spans="3:6" x14ac:dyDescent="0.35">
      <c r="C17" s="11"/>
      <c r="D17" s="11"/>
      <c r="E17" s="11"/>
      <c r="F17" s="11"/>
    </row>
    <row r="18" spans="3:6" x14ac:dyDescent="0.35">
      <c r="C18" s="11"/>
      <c r="D18" s="11"/>
      <c r="E18" s="11"/>
      <c r="F18" s="11"/>
    </row>
    <row r="19" spans="3:6" x14ac:dyDescent="0.35">
      <c r="C19" s="11"/>
      <c r="D19" s="11"/>
      <c r="E19" s="11"/>
      <c r="F19" s="11"/>
    </row>
    <row r="20" spans="3:6" x14ac:dyDescent="0.35">
      <c r="C20" s="11"/>
      <c r="D20" s="11"/>
      <c r="E20" s="11"/>
      <c r="F20" s="11"/>
    </row>
    <row r="21" spans="3:6" x14ac:dyDescent="0.35">
      <c r="C21" s="11"/>
      <c r="D21" s="11"/>
      <c r="E21" s="11"/>
      <c r="F21" s="11"/>
    </row>
    <row r="22" spans="3:6" x14ac:dyDescent="0.35">
      <c r="C22" s="11"/>
      <c r="D22" s="11"/>
      <c r="E22" s="11"/>
      <c r="F22" s="11"/>
    </row>
    <row r="23" spans="3:6" x14ac:dyDescent="0.35">
      <c r="C23" s="11"/>
      <c r="D23" s="11"/>
      <c r="E23" s="11"/>
      <c r="F23" s="11"/>
    </row>
    <row r="24" spans="3:6" x14ac:dyDescent="0.35">
      <c r="C24" s="11"/>
      <c r="D24" s="11"/>
      <c r="E24" s="11"/>
      <c r="F24" s="11"/>
    </row>
    <row r="25" spans="3:6" x14ac:dyDescent="0.35">
      <c r="C25" s="11"/>
      <c r="D25" s="11"/>
      <c r="E25" s="11"/>
      <c r="F25" s="11"/>
    </row>
    <row r="26" spans="3:6" x14ac:dyDescent="0.35">
      <c r="C26" s="11"/>
      <c r="D26" s="11"/>
      <c r="E26" s="11"/>
      <c r="F26" s="11"/>
    </row>
    <row r="27" spans="3:6" x14ac:dyDescent="0.35">
      <c r="C27" s="11"/>
      <c r="D27" s="11"/>
      <c r="E27" s="11"/>
      <c r="F27" s="11"/>
    </row>
    <row r="28" spans="3:6" x14ac:dyDescent="0.35">
      <c r="C28" s="11"/>
      <c r="D28" s="11"/>
      <c r="E28" s="11"/>
      <c r="F28" s="11"/>
    </row>
    <row r="29" spans="3:6" x14ac:dyDescent="0.35">
      <c r="C29" s="11"/>
      <c r="D29" s="11"/>
      <c r="E29" s="11"/>
      <c r="F29" s="11"/>
    </row>
    <row r="30" spans="3:6" x14ac:dyDescent="0.35">
      <c r="C30" s="11"/>
      <c r="D30" s="11"/>
      <c r="E30" s="11"/>
      <c r="F30" s="11"/>
    </row>
    <row r="31" spans="3:6" x14ac:dyDescent="0.35">
      <c r="C31" s="11"/>
      <c r="D31" s="11"/>
      <c r="E31" s="11"/>
      <c r="F31" s="11"/>
    </row>
    <row r="32" spans="3:6" x14ac:dyDescent="0.35">
      <c r="C32" s="11"/>
      <c r="D32" s="11"/>
      <c r="E32" s="11"/>
      <c r="F32" s="11"/>
    </row>
    <row r="33" spans="3:6" x14ac:dyDescent="0.35">
      <c r="C33" s="11"/>
      <c r="D33" s="11"/>
      <c r="E33" s="11"/>
      <c r="F33" s="11"/>
    </row>
    <row r="34" spans="3:6" x14ac:dyDescent="0.35">
      <c r="C34" s="11"/>
      <c r="D34" s="11"/>
      <c r="E34" s="11"/>
      <c r="F34" s="11"/>
    </row>
    <row r="35" spans="3:6" x14ac:dyDescent="0.35">
      <c r="C35" s="11"/>
      <c r="D35" s="11"/>
      <c r="E35" s="11"/>
      <c r="F35" s="11"/>
    </row>
    <row r="36" spans="3:6" x14ac:dyDescent="0.35">
      <c r="C36" s="11"/>
      <c r="D36" s="11"/>
      <c r="E36" s="11"/>
      <c r="F36" s="11"/>
    </row>
    <row r="37" spans="3:6" x14ac:dyDescent="0.35">
      <c r="C37" s="11"/>
      <c r="D37" s="11"/>
      <c r="E37" s="11"/>
      <c r="F37" s="11"/>
    </row>
    <row r="38" spans="3:6" x14ac:dyDescent="0.35">
      <c r="C38" s="11"/>
      <c r="D38" s="11"/>
      <c r="E38" s="11"/>
      <c r="F38" s="11"/>
    </row>
    <row r="39" spans="3:6" x14ac:dyDescent="0.35">
      <c r="C39" s="11"/>
      <c r="D39" s="11"/>
      <c r="E39" s="11"/>
      <c r="F39" s="11"/>
    </row>
    <row r="40" spans="3:6" x14ac:dyDescent="0.35">
      <c r="C40" s="11"/>
      <c r="D40" s="11"/>
      <c r="E40" s="11"/>
      <c r="F40" s="11"/>
    </row>
    <row r="41" spans="3:6" x14ac:dyDescent="0.35">
      <c r="C41" s="11"/>
      <c r="D41" s="11"/>
      <c r="E41" s="11"/>
      <c r="F41" s="11"/>
    </row>
    <row r="42" spans="3:6" x14ac:dyDescent="0.35">
      <c r="C42" s="11"/>
      <c r="D42" s="11"/>
      <c r="E42" s="11"/>
      <c r="F42" s="11"/>
    </row>
    <row r="43" spans="3:6" x14ac:dyDescent="0.35">
      <c r="C43" s="11"/>
      <c r="D43" s="11"/>
      <c r="E43" s="11"/>
      <c r="F43" s="11"/>
    </row>
    <row r="44" spans="3:6" x14ac:dyDescent="0.35">
      <c r="C44" s="11"/>
      <c r="D44" s="11"/>
      <c r="E44" s="11"/>
      <c r="F44" s="11"/>
    </row>
    <row r="45" spans="3:6" x14ac:dyDescent="0.35">
      <c r="C45" s="11"/>
      <c r="D45" s="11"/>
      <c r="E45" s="11"/>
      <c r="F45" s="11"/>
    </row>
    <row r="46" spans="3:6" x14ac:dyDescent="0.35">
      <c r="C46" s="11"/>
      <c r="D46" s="11"/>
      <c r="E46" s="11"/>
      <c r="F46" s="11"/>
    </row>
    <row r="47" spans="3:6" x14ac:dyDescent="0.35">
      <c r="C47" s="11"/>
      <c r="D47" s="11"/>
      <c r="E47" s="11"/>
      <c r="F47" s="11"/>
    </row>
    <row r="48" spans="3:6" x14ac:dyDescent="0.35">
      <c r="C48" s="11"/>
      <c r="D48" s="11"/>
      <c r="E48" s="11"/>
      <c r="F48" s="11"/>
    </row>
    <row r="49" spans="3:6" x14ac:dyDescent="0.35">
      <c r="C49" s="11"/>
      <c r="D49" s="11"/>
      <c r="E49" s="11"/>
      <c r="F49" s="11"/>
    </row>
    <row r="50" spans="3:6" x14ac:dyDescent="0.35">
      <c r="C50" s="11"/>
      <c r="D50" s="11"/>
      <c r="E50" s="11"/>
      <c r="F50" s="11"/>
    </row>
    <row r="51" spans="3:6" x14ac:dyDescent="0.35">
      <c r="C51" s="11"/>
      <c r="D51" s="11"/>
      <c r="E51" s="11"/>
      <c r="F51" s="11"/>
    </row>
    <row r="52" spans="3:6" x14ac:dyDescent="0.35">
      <c r="C52" s="11"/>
      <c r="D52" s="11"/>
      <c r="E52" s="11"/>
      <c r="F52" s="11"/>
    </row>
    <row r="53" spans="3:6" x14ac:dyDescent="0.35">
      <c r="C53" s="11"/>
      <c r="D53" s="11"/>
      <c r="E53" s="11"/>
      <c r="F53" s="11"/>
    </row>
    <row r="54" spans="3:6" x14ac:dyDescent="0.35">
      <c r="C54" s="11"/>
      <c r="D54" s="11"/>
      <c r="E54" s="11"/>
      <c r="F54" s="11"/>
    </row>
    <row r="55" spans="3:6" x14ac:dyDescent="0.35">
      <c r="C55" s="11"/>
      <c r="D55" s="11"/>
      <c r="E55" s="11"/>
      <c r="F55" s="11"/>
    </row>
    <row r="56" spans="3:6" x14ac:dyDescent="0.35">
      <c r="C56" s="11"/>
      <c r="D56" s="11"/>
      <c r="E56" s="11"/>
      <c r="F56" s="11"/>
    </row>
    <row r="57" spans="3:6" x14ac:dyDescent="0.35">
      <c r="C57" s="11"/>
      <c r="D57" s="11"/>
      <c r="E57" s="11"/>
      <c r="F57" s="11"/>
    </row>
    <row r="58" spans="3:6" x14ac:dyDescent="0.35">
      <c r="C58" s="11"/>
      <c r="D58" s="11"/>
      <c r="E58" s="11"/>
      <c r="F58" s="11"/>
    </row>
    <row r="59" spans="3:6" x14ac:dyDescent="0.35">
      <c r="C59" s="11"/>
      <c r="D59" s="11"/>
      <c r="E59" s="11"/>
      <c r="F59" s="11"/>
    </row>
    <row r="60" spans="3:6" x14ac:dyDescent="0.35">
      <c r="C60" s="11"/>
      <c r="D60" s="11"/>
      <c r="E60" s="11"/>
      <c r="F60" s="11"/>
    </row>
    <row r="61" spans="3:6" x14ac:dyDescent="0.35">
      <c r="C61" s="11"/>
      <c r="D61" s="11"/>
      <c r="E61" s="11"/>
      <c r="F61" s="11"/>
    </row>
    <row r="62" spans="3:6" x14ac:dyDescent="0.35">
      <c r="C62" s="11"/>
      <c r="D62" s="11"/>
      <c r="E62" s="11"/>
      <c r="F62" s="11"/>
    </row>
    <row r="63" spans="3:6" x14ac:dyDescent="0.35">
      <c r="C63" s="11"/>
      <c r="D63" s="11"/>
      <c r="E63" s="11"/>
      <c r="F63" s="11"/>
    </row>
    <row r="64" spans="3:6" x14ac:dyDescent="0.35">
      <c r="C64" s="11"/>
      <c r="D64" s="11"/>
      <c r="E64" s="11"/>
      <c r="F64" s="11"/>
    </row>
    <row r="65" spans="3:6" x14ac:dyDescent="0.35">
      <c r="C65" s="11"/>
      <c r="D65" s="11"/>
      <c r="E65" s="11"/>
      <c r="F65" s="11"/>
    </row>
    <row r="66" spans="3:6" x14ac:dyDescent="0.35">
      <c r="C66" s="11"/>
      <c r="D66" s="11"/>
      <c r="E66" s="11"/>
      <c r="F66" s="11"/>
    </row>
    <row r="67" spans="3:6" x14ac:dyDescent="0.35">
      <c r="C67" s="11"/>
      <c r="D67" s="11"/>
      <c r="E67" s="11"/>
      <c r="F67" s="11"/>
    </row>
    <row r="68" spans="3:6" x14ac:dyDescent="0.35">
      <c r="C68" s="11"/>
      <c r="D68" s="11"/>
      <c r="E68" s="11"/>
      <c r="F68" s="11"/>
    </row>
    <row r="69" spans="3:6" x14ac:dyDescent="0.35">
      <c r="C69" s="11"/>
      <c r="D69" s="11"/>
      <c r="E69" s="11"/>
      <c r="F69" s="11"/>
    </row>
    <row r="70" spans="3:6" x14ac:dyDescent="0.35">
      <c r="C70" s="11"/>
      <c r="D70" s="11"/>
      <c r="E70" s="11"/>
      <c r="F70" s="11"/>
    </row>
    <row r="71" spans="3:6" x14ac:dyDescent="0.35">
      <c r="C71" s="11"/>
      <c r="D71" s="11"/>
      <c r="E71" s="11"/>
      <c r="F71" s="11"/>
    </row>
    <row r="72" spans="3:6" x14ac:dyDescent="0.35">
      <c r="C72" s="11"/>
      <c r="D72" s="11"/>
      <c r="E72" s="11"/>
      <c r="F72" s="11"/>
    </row>
    <row r="73" spans="3:6" x14ac:dyDescent="0.35">
      <c r="C73" s="11"/>
      <c r="D73" s="11"/>
      <c r="E73" s="11"/>
      <c r="F73" s="11"/>
    </row>
    <row r="74" spans="3:6" x14ac:dyDescent="0.35">
      <c r="C74" s="11"/>
      <c r="D74" s="11"/>
      <c r="E74" s="11"/>
      <c r="F74" s="11"/>
    </row>
    <row r="75" spans="3:6" x14ac:dyDescent="0.35">
      <c r="F75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D11" sqref="D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8" t="s">
        <v>11</v>
      </c>
    </row>
    <row r="4" spans="2:7" x14ac:dyDescent="0.35">
      <c r="C4" s="9" t="s">
        <v>9</v>
      </c>
    </row>
    <row r="5" spans="2:7" x14ac:dyDescent="0.35">
      <c r="C5" s="9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35">
      <c r="C7" s="3" t="s">
        <v>36</v>
      </c>
      <c r="D7" s="72">
        <v>1</v>
      </c>
      <c r="E7" s="4">
        <f>COUNTIFS(_xlfn.ANCHORARRAY(Liste!$M$7),"&gt;"&amp;0)</f>
        <v>0</v>
      </c>
      <c r="F7" s="3" t="e" cm="1">
        <f t="array" ref="F7">INDEX(L_Marques_Famille,Loop[[#This Row],[Itération]])</f>
        <v>#N/A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S89"/>
  <sheetViews>
    <sheetView showGridLines="0" topLeftCell="E1" workbookViewId="0">
      <selection activeCell="S4" sqref="S4:S7"/>
    </sheetView>
  </sheetViews>
  <sheetFormatPr defaultRowHeight="18" x14ac:dyDescent="0.35"/>
  <cols>
    <col min="1" max="1" width="8.88671875" style="5"/>
    <col min="3" max="4" width="16.44140625" customWidth="1"/>
    <col min="5" max="5" width="5.5546875" customWidth="1"/>
    <col min="6" max="7" width="16.44140625" style="15" customWidth="1"/>
    <col min="8" max="8" width="5.5546875" customWidth="1"/>
    <col min="9" max="10" width="16.44140625" style="11" customWidth="1"/>
    <col min="11" max="11" width="5.5546875" customWidth="1"/>
    <col min="12" max="12" width="16.44140625" style="11" customWidth="1"/>
    <col min="13" max="13" width="16.44140625" style="20" customWidth="1"/>
  </cols>
  <sheetData>
    <row r="1" spans="1:19" s="5" customFormat="1" x14ac:dyDescent="0.35">
      <c r="F1" s="14"/>
      <c r="G1" s="14"/>
      <c r="I1" s="19"/>
      <c r="J1" s="19"/>
      <c r="L1" s="19"/>
      <c r="M1" s="19"/>
    </row>
    <row r="3" spans="1:19" x14ac:dyDescent="0.35">
      <c r="C3" s="8" t="s">
        <v>13</v>
      </c>
      <c r="D3" s="8"/>
    </row>
    <row r="4" spans="1:19" x14ac:dyDescent="0.35">
      <c r="C4" s="9" t="s">
        <v>14</v>
      </c>
      <c r="D4" s="9"/>
    </row>
    <row r="6" spans="1:19" s="8" customFormat="1" x14ac:dyDescent="0.35">
      <c r="A6" s="24"/>
      <c r="C6" s="17" t="s">
        <v>34</v>
      </c>
      <c r="D6" s="8" t="s">
        <v>52</v>
      </c>
      <c r="F6" s="16" t="s">
        <v>48</v>
      </c>
      <c r="G6" s="8" t="s">
        <v>52</v>
      </c>
      <c r="I6" s="16" t="s">
        <v>49</v>
      </c>
      <c r="J6" s="8" t="s">
        <v>52</v>
      </c>
      <c r="K6" s="16"/>
      <c r="L6" s="17" t="s">
        <v>50</v>
      </c>
      <c r="M6" s="23" t="s">
        <v>52</v>
      </c>
      <c r="O6" s="8" t="s">
        <v>86</v>
      </c>
      <c r="Q6" s="8" t="s">
        <v>30</v>
      </c>
      <c r="S6" s="8" t="s">
        <v>86</v>
      </c>
    </row>
    <row r="7" spans="1:19" x14ac:dyDescent="0.35">
      <c r="C7" s="11" cm="1">
        <f t="array" ref="C7">_xlfn.SORTBY(_xlfn.UNIQUE(BD[Famille]),SUMIFS(BD[Chiffre_d''affaires],BD[Famille],_xlfn.UNIQUE(BD[Famille])),-1)</f>
        <v>0</v>
      </c>
      <c r="D7" s="20" cm="1">
        <f t="array" ref="D7">SUMIFS(BD[Chiffre_d''affaires],BD[Année_N],"N",BD[Famille],_xlfn.ANCHORARRAY(C$7))</f>
        <v>0</v>
      </c>
      <c r="F7" s="15" cm="1">
        <f t="array" ref="F7">_xlfn.UNIQUE(BD[Date_début])</f>
        <v>0</v>
      </c>
      <c r="G7" s="20" cm="1">
        <f t="array" ref="G7">SUMIFS(BD[Chiffre_d''affaires],BD[Date_début],_xlfn.ANCHORARRAY($F$7))</f>
        <v>0</v>
      </c>
      <c r="I7" s="11" cm="1">
        <f t="array" ref="I7">_xlfn.SORTBY(_xlfn.UNIQUE(BD[Marque]),SUMIFS(BD[Chiffre_d''affaires],BD[Marque],_xlfn.UNIQUE(BD[Marque])),-1)</f>
        <v>0</v>
      </c>
      <c r="J7" s="20" cm="1">
        <f t="array" ref="J7">SUMIFS(BD[Chiffre_d''affaires],BD[Année_N],"N",BD[Marque],_xlfn.ANCHORARRAY(I$7))</f>
        <v>0</v>
      </c>
      <c r="K7" s="16"/>
      <c r="L7" s="11" t="e" cm="1">
        <f t="array" ref="L7">_xlfn.SORTBY(_xlfn.UNIQUE(_xlfn._xlws.FILTER(BD[Marque],BD[Famille]=S_famille)),SUMIFS(BD[Chiffre_d''affaires],BD[Marque],_xlfn.UNIQUE(_xlfn._xlws.FILTER(BD[Marque],BD[Famille]=S_famille))),-1)</f>
        <v>#N/A</v>
      </c>
      <c r="M7" s="20" cm="1">
        <f t="array" ref="M7">SUMIFS(BD[Chiffre_d''affaires],BD[Année_N],"N",BD[Marque],_xlfn.ANCHORARRAY(L$7))</f>
        <v>0</v>
      </c>
      <c r="O7" cm="1">
        <f t="array" ref="O7">_xlfn.UNIQUE(BD[Distributeur])</f>
        <v>0</v>
      </c>
      <c r="Q7" cm="1">
        <f t="array" ref="Q7">_xlfn.UNIQUE(BD[Canal])</f>
        <v>0</v>
      </c>
      <c r="S7" cm="1">
        <f t="array" ref="S7">_xlfn.UNIQUE(BD[Distributeur])</f>
        <v>0</v>
      </c>
    </row>
    <row r="8" spans="1:19" x14ac:dyDescent="0.35">
      <c r="C8" s="18"/>
      <c r="D8" s="22"/>
      <c r="G8" s="20"/>
      <c r="J8" s="20"/>
      <c r="K8" s="16"/>
    </row>
    <row r="9" spans="1:19" x14ac:dyDescent="0.35">
      <c r="C9" s="11"/>
      <c r="D9" s="20"/>
      <c r="G9" s="20"/>
      <c r="J9" s="20"/>
      <c r="K9" s="16"/>
    </row>
    <row r="10" spans="1:19" x14ac:dyDescent="0.35">
      <c r="C10" s="11"/>
      <c r="D10" s="20"/>
      <c r="G10" s="20"/>
      <c r="J10" s="20"/>
      <c r="K10" s="16"/>
    </row>
    <row r="11" spans="1:19" x14ac:dyDescent="0.35">
      <c r="C11" s="11"/>
      <c r="D11" s="20"/>
      <c r="G11" s="20"/>
      <c r="J11" s="20"/>
      <c r="K11" s="16"/>
    </row>
    <row r="12" spans="1:19" x14ac:dyDescent="0.35">
      <c r="C12" s="11"/>
      <c r="D12" s="20"/>
      <c r="G12" s="20"/>
      <c r="J12" s="20"/>
      <c r="K12" s="16"/>
    </row>
    <row r="13" spans="1:19" x14ac:dyDescent="0.35">
      <c r="C13" s="11"/>
      <c r="D13" s="20"/>
      <c r="G13" s="20"/>
      <c r="J13" s="20"/>
      <c r="K13" s="16"/>
    </row>
    <row r="14" spans="1:19" x14ac:dyDescent="0.35">
      <c r="C14" s="11"/>
      <c r="D14" s="20"/>
      <c r="G14" s="20"/>
      <c r="J14" s="20"/>
      <c r="K14" s="16"/>
    </row>
    <row r="15" spans="1:19" x14ac:dyDescent="0.35">
      <c r="C15" s="11"/>
      <c r="D15" s="20"/>
      <c r="G15" s="20"/>
      <c r="J15" s="20"/>
      <c r="K15" s="16"/>
    </row>
    <row r="16" spans="1:19" x14ac:dyDescent="0.35">
      <c r="C16" s="11"/>
      <c r="D16" s="20"/>
      <c r="G16" s="20"/>
      <c r="J16" s="20"/>
      <c r="K16" s="16"/>
    </row>
    <row r="17" spans="7:11" x14ac:dyDescent="0.35">
      <c r="G17" s="20"/>
      <c r="J17" s="20"/>
      <c r="K17" s="16"/>
    </row>
    <row r="18" spans="7:11" x14ac:dyDescent="0.35">
      <c r="G18" s="20"/>
      <c r="J18" s="20"/>
      <c r="K18" s="16"/>
    </row>
    <row r="19" spans="7:11" x14ac:dyDescent="0.35">
      <c r="G19" s="20"/>
      <c r="J19" s="20"/>
      <c r="K19" s="16"/>
    </row>
    <row r="20" spans="7:11" x14ac:dyDescent="0.35">
      <c r="G20" s="20"/>
      <c r="J20" s="20"/>
      <c r="K20" s="16"/>
    </row>
    <row r="21" spans="7:11" x14ac:dyDescent="0.35">
      <c r="G21" s="20"/>
      <c r="J21" s="20"/>
      <c r="K21" s="16"/>
    </row>
    <row r="22" spans="7:11" x14ac:dyDescent="0.35">
      <c r="G22" s="20"/>
      <c r="J22" s="20"/>
      <c r="K22" s="16"/>
    </row>
    <row r="23" spans="7:11" x14ac:dyDescent="0.35">
      <c r="G23" s="20"/>
      <c r="J23" s="20"/>
      <c r="K23" s="16"/>
    </row>
    <row r="24" spans="7:11" x14ac:dyDescent="0.35">
      <c r="G24" s="20"/>
      <c r="J24" s="20"/>
      <c r="K24" s="16"/>
    </row>
    <row r="25" spans="7:11" x14ac:dyDescent="0.35">
      <c r="G25" s="20"/>
      <c r="J25" s="20"/>
      <c r="K25" s="16"/>
    </row>
    <row r="26" spans="7:11" x14ac:dyDescent="0.35">
      <c r="G26" s="20"/>
      <c r="J26" s="20"/>
      <c r="K26" s="16"/>
    </row>
    <row r="27" spans="7:11" x14ac:dyDescent="0.35">
      <c r="G27" s="20"/>
      <c r="J27" s="20"/>
      <c r="K27" s="16"/>
    </row>
    <row r="28" spans="7:11" x14ac:dyDescent="0.35">
      <c r="G28" s="20"/>
      <c r="J28" s="20"/>
      <c r="K28" s="16"/>
    </row>
    <row r="29" spans="7:11" x14ac:dyDescent="0.35">
      <c r="G29" s="20"/>
      <c r="J29" s="20"/>
      <c r="K29" s="16"/>
    </row>
    <row r="30" spans="7:11" x14ac:dyDescent="0.35">
      <c r="G30" s="20"/>
      <c r="J30" s="20"/>
      <c r="K30" s="16"/>
    </row>
    <row r="31" spans="7:11" x14ac:dyDescent="0.35">
      <c r="G31" s="20"/>
      <c r="J31" s="20"/>
      <c r="K31" s="16"/>
    </row>
    <row r="32" spans="7:11" x14ac:dyDescent="0.35">
      <c r="G32" s="20"/>
      <c r="J32" s="20"/>
      <c r="K32" s="16"/>
    </row>
    <row r="33" spans="7:11" x14ac:dyDescent="0.35">
      <c r="G33" s="20"/>
      <c r="J33" s="20"/>
      <c r="K33" s="16"/>
    </row>
    <row r="34" spans="7:11" x14ac:dyDescent="0.35">
      <c r="G34" s="20"/>
      <c r="J34" s="20"/>
      <c r="K34" s="16"/>
    </row>
    <row r="35" spans="7:11" x14ac:dyDescent="0.35">
      <c r="G35" s="20"/>
      <c r="J35" s="20"/>
      <c r="K35" s="16"/>
    </row>
    <row r="36" spans="7:11" x14ac:dyDescent="0.35">
      <c r="G36" s="20"/>
      <c r="J36" s="20"/>
      <c r="K36" s="16"/>
    </row>
    <row r="37" spans="7:11" x14ac:dyDescent="0.35">
      <c r="G37" s="20"/>
      <c r="J37" s="20"/>
      <c r="K37" s="16"/>
    </row>
    <row r="38" spans="7:11" x14ac:dyDescent="0.35">
      <c r="G38" s="20"/>
      <c r="J38" s="20"/>
      <c r="K38" s="16"/>
    </row>
    <row r="39" spans="7:11" x14ac:dyDescent="0.35">
      <c r="G39" s="20"/>
      <c r="J39" s="20"/>
      <c r="K39" s="16"/>
    </row>
    <row r="40" spans="7:11" x14ac:dyDescent="0.35">
      <c r="G40" s="20"/>
      <c r="J40" s="20"/>
      <c r="K40" s="16"/>
    </row>
    <row r="41" spans="7:11" x14ac:dyDescent="0.35">
      <c r="G41" s="20"/>
      <c r="J41" s="20"/>
      <c r="K41" s="16"/>
    </row>
    <row r="42" spans="7:11" x14ac:dyDescent="0.35">
      <c r="G42" s="20"/>
      <c r="J42" s="20"/>
      <c r="K42" s="16"/>
    </row>
    <row r="43" spans="7:11" x14ac:dyDescent="0.35">
      <c r="J43" s="20"/>
      <c r="K43" s="16"/>
    </row>
    <row r="44" spans="7:11" x14ac:dyDescent="0.35">
      <c r="J44" s="20"/>
      <c r="K44" s="16"/>
    </row>
    <row r="45" spans="7:11" x14ac:dyDescent="0.35">
      <c r="J45" s="20"/>
      <c r="K45" s="16"/>
    </row>
    <row r="46" spans="7:11" x14ac:dyDescent="0.35">
      <c r="J46" s="20"/>
      <c r="K46" s="16"/>
    </row>
    <row r="47" spans="7:11" x14ac:dyDescent="0.35">
      <c r="J47" s="20"/>
      <c r="K47" s="16"/>
    </row>
    <row r="48" spans="7:11" x14ac:dyDescent="0.35">
      <c r="J48" s="20"/>
      <c r="K48" s="16"/>
    </row>
    <row r="49" spans="10:11" x14ac:dyDescent="0.35">
      <c r="J49" s="20"/>
      <c r="K49" s="16"/>
    </row>
    <row r="50" spans="10:11" x14ac:dyDescent="0.35">
      <c r="J50" s="20"/>
      <c r="K50" s="16"/>
    </row>
    <row r="51" spans="10:11" x14ac:dyDescent="0.35">
      <c r="J51" s="20"/>
      <c r="K51" s="16"/>
    </row>
    <row r="52" spans="10:11" x14ac:dyDescent="0.35">
      <c r="J52" s="20"/>
      <c r="K52" s="16"/>
    </row>
    <row r="53" spans="10:11" x14ac:dyDescent="0.35">
      <c r="J53" s="20"/>
      <c r="K53" s="16"/>
    </row>
    <row r="54" spans="10:11" x14ac:dyDescent="0.35">
      <c r="J54" s="20"/>
      <c r="K54" s="16"/>
    </row>
    <row r="55" spans="10:11" x14ac:dyDescent="0.35">
      <c r="J55" s="20"/>
      <c r="K55" s="16"/>
    </row>
    <row r="56" spans="10:11" x14ac:dyDescent="0.35">
      <c r="J56" s="20"/>
      <c r="K56" s="16"/>
    </row>
    <row r="57" spans="10:11" x14ac:dyDescent="0.35">
      <c r="J57" s="20"/>
      <c r="K57" s="16"/>
    </row>
    <row r="58" spans="10:11" x14ac:dyDescent="0.35">
      <c r="J58" s="20"/>
      <c r="K58" s="16"/>
    </row>
    <row r="59" spans="10:11" x14ac:dyDescent="0.35">
      <c r="J59" s="20"/>
      <c r="K59" s="16"/>
    </row>
    <row r="60" spans="10:11" x14ac:dyDescent="0.35">
      <c r="J60" s="20"/>
      <c r="K60" s="16"/>
    </row>
    <row r="61" spans="10:11" x14ac:dyDescent="0.35">
      <c r="J61" s="20"/>
      <c r="K61" s="16"/>
    </row>
    <row r="62" spans="10:11" x14ac:dyDescent="0.35">
      <c r="J62" s="20"/>
      <c r="K62" s="16"/>
    </row>
    <row r="63" spans="10:11" x14ac:dyDescent="0.35">
      <c r="J63" s="20"/>
      <c r="K63" s="16"/>
    </row>
    <row r="64" spans="10:11" x14ac:dyDescent="0.35">
      <c r="J64" s="20"/>
      <c r="K64" s="16"/>
    </row>
    <row r="65" spans="10:11" x14ac:dyDescent="0.35">
      <c r="J65" s="20"/>
      <c r="K65" s="16"/>
    </row>
    <row r="66" spans="10:11" x14ac:dyDescent="0.35">
      <c r="J66" s="20"/>
      <c r="K66" s="16"/>
    </row>
    <row r="67" spans="10:11" x14ac:dyDescent="0.35">
      <c r="J67" s="20"/>
      <c r="K67" s="16"/>
    </row>
    <row r="68" spans="10:11" x14ac:dyDescent="0.35">
      <c r="J68" s="20"/>
      <c r="K68" s="16"/>
    </row>
    <row r="69" spans="10:11" x14ac:dyDescent="0.35">
      <c r="J69" s="20"/>
      <c r="K69" s="16"/>
    </row>
    <row r="70" spans="10:11" x14ac:dyDescent="0.35">
      <c r="J70" s="20"/>
      <c r="K70" s="16"/>
    </row>
    <row r="71" spans="10:11" x14ac:dyDescent="0.35">
      <c r="J71" s="20"/>
      <c r="K71" s="16"/>
    </row>
    <row r="72" spans="10:11" x14ac:dyDescent="0.35">
      <c r="J72" s="20"/>
      <c r="K72" s="16"/>
    </row>
    <row r="73" spans="10:11" x14ac:dyDescent="0.35">
      <c r="J73" s="20"/>
      <c r="K73" s="16"/>
    </row>
    <row r="74" spans="10:11" x14ac:dyDescent="0.35">
      <c r="J74" s="20"/>
      <c r="K74" s="16"/>
    </row>
    <row r="75" spans="10:11" x14ac:dyDescent="0.35">
      <c r="J75" s="20"/>
      <c r="K75" s="16"/>
    </row>
    <row r="76" spans="10:11" x14ac:dyDescent="0.35">
      <c r="J76" s="20"/>
      <c r="K76" s="16"/>
    </row>
    <row r="77" spans="10:11" x14ac:dyDescent="0.35">
      <c r="J77" s="20"/>
      <c r="K77" s="16"/>
    </row>
    <row r="78" spans="10:11" x14ac:dyDescent="0.35">
      <c r="J78" s="20"/>
      <c r="K78" s="16"/>
    </row>
    <row r="79" spans="10:11" x14ac:dyDescent="0.35">
      <c r="J79" s="20"/>
      <c r="K79" s="16"/>
    </row>
    <row r="80" spans="10:11" x14ac:dyDescent="0.35">
      <c r="J80" s="20"/>
      <c r="K80" s="16"/>
    </row>
    <row r="81" spans="10:11" x14ac:dyDescent="0.35">
      <c r="J81" s="20"/>
      <c r="K81" s="16"/>
    </row>
    <row r="82" spans="10:11" x14ac:dyDescent="0.35">
      <c r="J82" s="20"/>
      <c r="K82" s="16"/>
    </row>
    <row r="83" spans="10:11" x14ac:dyDescent="0.35">
      <c r="J83" s="20"/>
      <c r="K83" s="16"/>
    </row>
    <row r="84" spans="10:11" x14ac:dyDescent="0.35">
      <c r="J84" s="20"/>
      <c r="K84" s="16"/>
    </row>
    <row r="85" spans="10:11" x14ac:dyDescent="0.35">
      <c r="J85" s="20"/>
      <c r="K85" s="16"/>
    </row>
    <row r="86" spans="10:11" x14ac:dyDescent="0.35">
      <c r="J86" s="20"/>
      <c r="K86" s="16"/>
    </row>
    <row r="87" spans="10:11" x14ac:dyDescent="0.35">
      <c r="J87" s="20"/>
      <c r="K87" s="16"/>
    </row>
    <row r="88" spans="10:11" x14ac:dyDescent="0.35">
      <c r="J88" s="20"/>
      <c r="K88" s="16"/>
    </row>
    <row r="89" spans="10:11" x14ac:dyDescent="0.35">
      <c r="J89" s="20"/>
      <c r="K8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activeCell="E17" sqref="A1:XFD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15</v>
      </c>
    </row>
    <row r="4" spans="3:3" x14ac:dyDescent="0.35">
      <c r="C4" s="9" t="s">
        <v>12</v>
      </c>
    </row>
    <row r="8" spans="3:3" x14ac:dyDescent="0.35">
      <c r="C8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17" sqref="D17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217F-394F-4E05-9DC6-DA89F47D9C09}">
  <sheetPr>
    <tabColor theme="1" tint="0.749992370372631"/>
  </sheetPr>
  <dimension ref="A1:Q10"/>
  <sheetViews>
    <sheetView showGridLines="0" topLeftCell="C1" workbookViewId="0">
      <selection activeCell="J10" sqref="J10"/>
    </sheetView>
  </sheetViews>
  <sheetFormatPr defaultColWidth="9.77734375" defaultRowHeight="18" x14ac:dyDescent="0.35"/>
  <cols>
    <col min="1" max="1" width="8.88671875" style="5" customWidth="1"/>
    <col min="2" max="2" width="8.88671875" customWidth="1"/>
    <col min="3" max="3" width="68.44140625" style="38" bestFit="1" customWidth="1"/>
    <col min="4" max="4" width="20.33203125" bestFit="1" customWidth="1"/>
    <col min="5" max="5" width="20.33203125" customWidth="1"/>
    <col min="6" max="6" width="13.6640625" style="39" customWidth="1"/>
    <col min="7" max="7" width="13.6640625" style="40" customWidth="1"/>
    <col min="8" max="8" width="13.6640625" style="41" customWidth="1"/>
    <col min="9" max="9" width="13.6640625" style="42" customWidth="1"/>
    <col min="10" max="10" width="13.6640625" style="26" customWidth="1"/>
    <col min="11" max="11" width="13.6640625" style="40" customWidth="1"/>
    <col min="12" max="12" width="13.6640625" style="39" customWidth="1"/>
    <col min="13" max="13" width="13.6640625" style="40" customWidth="1"/>
    <col min="14" max="14" width="13.6640625" style="41" customWidth="1"/>
    <col min="15" max="15" width="13.6640625" style="42" customWidth="1"/>
    <col min="16" max="16" width="13.6640625" style="26" customWidth="1"/>
    <col min="17" max="17" width="13.6640625" style="40" customWidth="1"/>
  </cols>
  <sheetData>
    <row r="1" spans="1:17" s="5" customFormat="1" x14ac:dyDescent="0.35"/>
    <row r="3" spans="1:17" x14ac:dyDescent="0.35">
      <c r="C3" s="38" t="s">
        <v>56</v>
      </c>
    </row>
    <row r="4" spans="1:17" x14ac:dyDescent="0.35">
      <c r="C4" s="38" t="e" cm="1">
        <f t="array" ref="C4">"Étude de la marque "&amp;B_Marque</f>
        <v>#N/A</v>
      </c>
      <c r="F4" s="39" t="e" cm="1">
        <f t="array" ref="F4">SUMPRODUCT(DN_N_1*Vol_par_dn_N_1*_xlfn.ANCHORARRAY($E$10))*SUMPRODUCT(Prix_N_1*Mix_N_1*_xlfn.ANCHORARRAY($E$10))</f>
        <v>#N/A</v>
      </c>
      <c r="L4" s="39" t="e" cm="1">
        <f t="array" ref="L4">SUMPRODUCT(DN_N*Vol_par_dn_N*_xlfn.ANCHORARRAY($E$10))*SUMPRODUCT(Prix_N*Mix_N*_xlfn.ANCHORARRAY($E$10))</f>
        <v>#N/A</v>
      </c>
    </row>
    <row r="5" spans="1:17" x14ac:dyDescent="0.35">
      <c r="F5" s="39" t="e">
        <f>F4=F6</f>
        <v>#N/A</v>
      </c>
      <c r="L5" s="39" t="e">
        <f>L4=L6</f>
        <v>#N/A</v>
      </c>
    </row>
    <row r="6" spans="1:17" s="31" customFormat="1" x14ac:dyDescent="0.35">
      <c r="A6" s="30"/>
      <c r="C6" s="38"/>
      <c r="D6" t="e" cm="1">
        <f t="array" ref="D6">B_Marque</f>
        <v>#N/A</v>
      </c>
      <c r="E6"/>
      <c r="F6" s="39" cm="1">
        <f t="array" ref="F6">SUBTOTAL(9,Ventes_N_1)</f>
        <v>0</v>
      </c>
      <c r="G6" s="40" cm="1">
        <f t="array" ref="G6">SUBTOTAL(9,Vol_N_1)</f>
        <v>0</v>
      </c>
      <c r="H6" s="41" cm="1">
        <f t="array" ref="H6">SUBTOTAL(9,Prix_N_1)</f>
        <v>0</v>
      </c>
      <c r="I6" s="42" t="e" cm="1">
        <f t="array" ref="I6">SUBTOTAL(9,Mix_N_1)</f>
        <v>#DIV/0!</v>
      </c>
      <c r="J6" s="26" cm="1">
        <f t="array" ref="J6">SUBTOTAL(9,DN_N_1)</f>
        <v>0</v>
      </c>
      <c r="K6" s="40" cm="1">
        <f t="array" ref="K6">SUBTOTAL(9,Vol_par_dn_N_1)</f>
        <v>0</v>
      </c>
      <c r="L6" s="39" cm="1">
        <f t="array" ref="L6">SUBTOTAL(9,Ventes_N)</f>
        <v>0</v>
      </c>
      <c r="M6" s="40" cm="1">
        <f t="array" ref="M6">SUBTOTAL(9,Vol_N)</f>
        <v>0</v>
      </c>
      <c r="N6" s="41" cm="1">
        <f t="array" ref="N6">SUBTOTAL(9,Prix_N)</f>
        <v>0</v>
      </c>
      <c r="O6" s="42" t="e" cm="1">
        <f t="array" ref="O6">SUBTOTAL(9,Mix_N)</f>
        <v>#DIV/0!</v>
      </c>
      <c r="P6" s="26" cm="1">
        <f t="array" ref="P6">SUBTOTAL(9,DN_N)</f>
        <v>0</v>
      </c>
      <c r="Q6" s="40" cm="1">
        <f t="array" ref="Q6">SUBTOTAL(9,Vol_par_dn_N)</f>
        <v>0</v>
      </c>
    </row>
    <row r="7" spans="1:17" s="31" customFormat="1" x14ac:dyDescent="0.35">
      <c r="A7" s="30"/>
      <c r="C7" s="38"/>
      <c r="D7"/>
      <c r="E7"/>
      <c r="F7" s="39"/>
      <c r="G7" s="40"/>
      <c r="H7" s="41"/>
      <c r="I7" s="42"/>
      <c r="J7" s="26"/>
      <c r="K7" s="40"/>
      <c r="L7" s="39"/>
      <c r="M7" s="40"/>
      <c r="N7" s="41"/>
      <c r="O7" s="42"/>
      <c r="P7" s="26"/>
      <c r="Q7" s="40"/>
    </row>
    <row r="8" spans="1:17" x14ac:dyDescent="0.35">
      <c r="F8" s="39" t="s">
        <v>20</v>
      </c>
      <c r="G8" s="40" t="s">
        <v>20</v>
      </c>
      <c r="H8" s="41" t="s">
        <v>20</v>
      </c>
      <c r="I8" s="42" t="s">
        <v>20</v>
      </c>
      <c r="J8" s="26" t="s">
        <v>20</v>
      </c>
      <c r="K8" s="40" t="s">
        <v>20</v>
      </c>
      <c r="L8" s="39" t="s">
        <v>21</v>
      </c>
      <c r="M8" s="40" t="s">
        <v>21</v>
      </c>
      <c r="N8" s="41" t="s">
        <v>21</v>
      </c>
      <c r="O8" s="42" t="s">
        <v>21</v>
      </c>
      <c r="P8" s="26" t="s">
        <v>21</v>
      </c>
      <c r="Q8" s="40" t="s">
        <v>21</v>
      </c>
    </row>
    <row r="9" spans="1:17" x14ac:dyDescent="0.35">
      <c r="C9" s="48" t="s">
        <v>55</v>
      </c>
      <c r="D9" s="49" t="s">
        <v>36</v>
      </c>
      <c r="E9" s="49" t="s">
        <v>74</v>
      </c>
      <c r="F9" s="50" t="str">
        <f>"Ventes_"&amp;F$8</f>
        <v>Ventes_N-1</v>
      </c>
      <c r="G9" s="51" t="str">
        <f>"Vol_"&amp;G$8</f>
        <v>Vol_N-1</v>
      </c>
      <c r="H9" s="52" t="str">
        <f>"Prix_"&amp;H$8</f>
        <v>Prix_N-1</v>
      </c>
      <c r="I9" s="53" t="str">
        <f>"Mix_"&amp;I$8</f>
        <v>Mix_N-1</v>
      </c>
      <c r="J9" s="54" t="str">
        <f>"DN_"&amp;J$8</f>
        <v>DN_N-1</v>
      </c>
      <c r="K9" s="51" t="str">
        <f>"Vol_par_dn_"&amp;K$8</f>
        <v>Vol_par_dn_N-1</v>
      </c>
      <c r="L9" s="50" t="str">
        <f>"Ventes_"&amp;L$8</f>
        <v>Ventes_N</v>
      </c>
      <c r="M9" s="51" t="str">
        <f>"Vol_"&amp;M$8</f>
        <v>Vol_N</v>
      </c>
      <c r="N9" s="52" t="str">
        <f>"Prix_"&amp;N$8</f>
        <v>Prix_N</v>
      </c>
      <c r="O9" s="53" t="str">
        <f>"Mix_"&amp;O$8</f>
        <v>Mix_N</v>
      </c>
      <c r="P9" s="54" t="str">
        <f>"DN_"&amp;P$8</f>
        <v>DN_N</v>
      </c>
      <c r="Q9" s="51" t="str">
        <f>"Vol_par_dn_"&amp;Q$8</f>
        <v>Vol_par_dn_N</v>
      </c>
    </row>
    <row r="10" spans="1:17" x14ac:dyDescent="0.35">
      <c r="C10" s="38" t="e" cm="1">
        <f t="array" ref="C10">_xlfn.UNIQUE(_xlfn._xlws.FILTER(BD[Product],(BD[Famille]=S_famille)))</f>
        <v>#N/A</v>
      </c>
      <c r="D10" t="e" cm="1">
        <f t="array" ref="D10">INDEX(BD[Marque],MATCH(_xlfn.ANCHORARRAY($C$10),BD[Product],0))</f>
        <v>#N/A</v>
      </c>
      <c r="E10" t="e" cm="1">
        <f t="array" ref="E10">--(_xlfn.ANCHORARRAY($D$10)=B_Marque)</f>
        <v>#N/A</v>
      </c>
      <c r="F10" s="39" cm="1">
        <f t="array" ref="F10">SUMIFS(BD[Chiffre_d''affaires],BD[Product],_xlfn.ANCHORARRAY($C$10),BD[Année_N],F$8)</f>
        <v>0</v>
      </c>
      <c r="G10" s="40" cm="1">
        <f t="array" ref="G10">SUMIFS(BD[Volume],BD[Product],_xlfn.ANCHORARRAY($C$10),BD[Année_N],G$8)</f>
        <v>0</v>
      </c>
      <c r="H10" s="41" cm="1">
        <f t="array" ref="H10">IFERROR(_xlfn.ANCHORARRAY(F10)/_xlfn.ANCHORARRAY(G10),0)</f>
        <v>0</v>
      </c>
      <c r="I10" s="42" t="e" cm="1">
        <f t="array" ref="I10">_xlfn.ANCHORARRAY(G10)/SUMIFS(_xlfn.ANCHORARRAY(G10),_xlfn.ANCHORARRAY(E10),1)</f>
        <v>#DIV/0!</v>
      </c>
      <c r="J10" s="26" cm="1">
        <f t="array" ref="J10">IFERROR(AVERAGEIFS(BD[Distribution_numérique],BD[Product],_xlfn.ANCHORARRAY($C$10),BD[Année_N],J$8),0)</f>
        <v>0</v>
      </c>
      <c r="K10" s="40" cm="1">
        <f t="array" ref="K10">IFERROR(_xlfn.ANCHORARRAY(G10)/_xlfn.ANCHORARRAY(J10),0)</f>
        <v>0</v>
      </c>
      <c r="L10" s="39" cm="1">
        <f t="array" ref="L10">SUMIFS(BD[Chiffre_d''affaires],BD[Product],_xlfn.ANCHORARRAY($C$10),BD[Année_N],L$8)</f>
        <v>0</v>
      </c>
      <c r="M10" s="40" cm="1">
        <f t="array" ref="M10">SUMIFS(BD[Volume],BD[Product],_xlfn.ANCHORARRAY($C$10),BD[Année_N],M$8)</f>
        <v>0</v>
      </c>
      <c r="N10" s="41" cm="1">
        <f t="array" ref="N10">IFERROR(_xlfn.ANCHORARRAY(L10)/_xlfn.ANCHORARRAY(M10),0)</f>
        <v>0</v>
      </c>
      <c r="O10" s="42" t="e" cm="1">
        <f t="array" ref="O10">_xlfn.ANCHORARRAY(M10)/SUMIFS(_xlfn.ANCHORARRAY(M10),_xlfn.ANCHORARRAY(E10),1)</f>
        <v>#DIV/0!</v>
      </c>
      <c r="P10" s="26" cm="1">
        <f t="array" ref="P10">IFERROR(AVERAGEIFS(BD[Distribution_numérique],BD[Product],_xlfn.ANCHORARRAY($C$10),BD[Année_N],P$8),0)</f>
        <v>0</v>
      </c>
      <c r="Q10" s="40" cm="1">
        <f t="array" ref="Q10">IFERROR(_xlfn.ANCHORARRAY(M10)/_xlfn.ANCHORARRAY(P10),0)</f>
        <v>0</v>
      </c>
    </row>
  </sheetData>
  <autoFilter ref="C9:Q168" xr:uid="{D97B217F-394F-4E05-9DC6-DA89F47D9C09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6CD-1737-489B-BA49-98E0848021C7}">
  <dimension ref="B2:I22"/>
  <sheetViews>
    <sheetView showGridLines="0" topLeftCell="B1" zoomScaleNormal="100" workbookViewId="0">
      <selection activeCell="I6" sqref="I6"/>
    </sheetView>
  </sheetViews>
  <sheetFormatPr defaultRowHeight="18" x14ac:dyDescent="0.35"/>
  <cols>
    <col min="2" max="2" width="14.44140625" bestFit="1" customWidth="1"/>
    <col min="3" max="3" width="14.44140625" customWidth="1"/>
    <col min="4" max="4" width="64.6640625" bestFit="1" customWidth="1"/>
    <col min="5" max="6" width="12.44140625" customWidth="1"/>
    <col min="9" max="9" width="70.6640625" style="29" customWidth="1"/>
  </cols>
  <sheetData>
    <row r="2" spans="2:9" x14ac:dyDescent="0.35">
      <c r="B2" s="55" t="s">
        <v>77</v>
      </c>
      <c r="C2" s="55"/>
      <c r="D2" s="55"/>
      <c r="E2" s="44" t="e">
        <f>S_famille</f>
        <v>#N/A</v>
      </c>
    </row>
    <row r="3" spans="2:9" x14ac:dyDescent="0.35">
      <c r="B3" s="55" t="s">
        <v>49</v>
      </c>
      <c r="C3" s="55"/>
      <c r="D3" s="55"/>
      <c r="E3" s="44" t="e" cm="1">
        <f t="array" ref="E3">B_Marque</f>
        <v>#N/A</v>
      </c>
    </row>
    <row r="6" spans="2:9" x14ac:dyDescent="0.35">
      <c r="E6" s="27" t="s">
        <v>20</v>
      </c>
      <c r="F6" s="27" t="s">
        <v>21</v>
      </c>
      <c r="G6" s="27" t="s">
        <v>102</v>
      </c>
      <c r="H6" s="27" t="s">
        <v>21</v>
      </c>
    </row>
    <row r="7" spans="2:9" x14ac:dyDescent="0.35">
      <c r="C7" s="9" t="s">
        <v>103</v>
      </c>
      <c r="E7" s="61" t="e">
        <f>E8*E11*E14</f>
        <v>#DIV/0!</v>
      </c>
      <c r="F7" s="61" t="e">
        <f>F8*F11*F14</f>
        <v>#DIV/0!</v>
      </c>
      <c r="G7" s="65" t="e">
        <f>F7/E7-1</f>
        <v>#DIV/0!</v>
      </c>
      <c r="H7" s="61"/>
    </row>
    <row r="8" spans="2:9" x14ac:dyDescent="0.35">
      <c r="B8" s="57" t="s">
        <v>82</v>
      </c>
      <c r="C8" s="57" t="s">
        <v>104</v>
      </c>
      <c r="D8" s="62" t="s">
        <v>83</v>
      </c>
      <c r="E8" s="58">
        <f>SUMIFS(BD[Volume],BD[Famille],S_famille,BD[Année_N],E$6)</f>
        <v>0</v>
      </c>
      <c r="F8" s="58">
        <f>SUMIFS(BD[Volume],BD[Famille],S_famille,BD[Année_N],F$6)</f>
        <v>0</v>
      </c>
      <c r="G8" s="67" t="e">
        <f t="shared" ref="G8:G11" si="0">F8/E8-1</f>
        <v>#DIV/0!</v>
      </c>
      <c r="H8" s="58"/>
      <c r="I8" s="29" t="str">
        <f ca="1">_xlfn.FORMULATEXT(E8)</f>
        <v>=SUMIFS(BD[Volume];BD[Famille];S_famille;BD[Année_N];E$6)</v>
      </c>
    </row>
    <row r="9" spans="2:9" x14ac:dyDescent="0.35">
      <c r="B9" s="56" t="s">
        <v>87</v>
      </c>
      <c r="C9" s="56" t="s">
        <v>104</v>
      </c>
      <c r="D9" s="63" t="s">
        <v>89</v>
      </c>
      <c r="E9" s="33">
        <f>SUMIFS(BD[Volume],BD[Année_N],E$6)</f>
        <v>0</v>
      </c>
      <c r="F9" s="33">
        <f>SUMIFS(BD[Volume],BD[Année_N],F$6)</f>
        <v>0</v>
      </c>
      <c r="G9" s="66" t="e">
        <f t="shared" si="0"/>
        <v>#DIV/0!</v>
      </c>
      <c r="H9" s="33"/>
      <c r="I9" s="29" t="str">
        <f t="shared" ref="I9:I14" ca="1" si="1">_xlfn.FORMULATEXT(E9)</f>
        <v>=SUMIFS(BD[Volume];BD[Année_N];E$6)</v>
      </c>
    </row>
    <row r="10" spans="2:9" x14ac:dyDescent="0.35">
      <c r="B10" s="56" t="s">
        <v>88</v>
      </c>
      <c r="C10" s="56" t="s">
        <v>104</v>
      </c>
      <c r="D10" s="63" t="s">
        <v>90</v>
      </c>
      <c r="E10" s="32" t="e">
        <f>E8/E9</f>
        <v>#DIV/0!</v>
      </c>
      <c r="F10" s="32" t="e">
        <f>F8/F9</f>
        <v>#DIV/0!</v>
      </c>
      <c r="G10" s="66" t="e">
        <f t="shared" si="0"/>
        <v>#DIV/0!</v>
      </c>
      <c r="H10" s="32"/>
      <c r="I10" s="29" t="str">
        <f t="shared" ca="1" si="1"/>
        <v>=E8/E9</v>
      </c>
    </row>
    <row r="11" spans="2:9" x14ac:dyDescent="0.35">
      <c r="B11" s="57" t="s">
        <v>75</v>
      </c>
      <c r="C11" s="57" t="s">
        <v>104</v>
      </c>
      <c r="D11" s="62" t="s">
        <v>84</v>
      </c>
      <c r="E11" s="59" t="e" cm="1">
        <f t="array" ref="E11">SUMIFS(BD[Volume],BD[Famille],S_famille,BD[Marque],B_Marque,BD[Année_N],E$6)/E8</f>
        <v>#DIV/0!</v>
      </c>
      <c r="F11" s="59" t="e" cm="1">
        <f t="array" ref="F11">SUMIFS(BD[Volume],BD[Famille],S_famille,BD[Marque],B_Marque,BD[Année_N],F$6)/F8</f>
        <v>#DIV/0!</v>
      </c>
      <c r="G11" s="59" t="e">
        <f t="shared" si="0"/>
        <v>#DIV/0!</v>
      </c>
      <c r="H11" s="59"/>
      <c r="I11" s="29" t="str">
        <f t="shared" ca="1" si="1"/>
        <v>=SUMIFS(BD[Volume];BD[Famille];S_famille;BD[Marque];B_Marque;BD[Année_N];E$6)/E8</v>
      </c>
    </row>
    <row r="12" spans="2:9" x14ac:dyDescent="0.35">
      <c r="B12" s="56" t="s">
        <v>57</v>
      </c>
      <c r="C12" s="56" t="s">
        <v>105</v>
      </c>
      <c r="D12" s="63" t="s">
        <v>91</v>
      </c>
      <c r="E12" s="32"/>
      <c r="F12" s="32"/>
      <c r="G12" s="32"/>
      <c r="H12" s="32"/>
    </row>
    <row r="13" spans="2:9" x14ac:dyDescent="0.35">
      <c r="B13" s="56" t="s">
        <v>78</v>
      </c>
      <c r="C13" s="56" t="s">
        <v>105</v>
      </c>
      <c r="D13" s="63" t="s">
        <v>92</v>
      </c>
      <c r="E13" s="32"/>
      <c r="F13" s="32"/>
      <c r="G13" s="32"/>
      <c r="H13" s="32"/>
    </row>
    <row r="14" spans="2:9" s="34" customFormat="1" ht="36" x14ac:dyDescent="0.35">
      <c r="B14" s="68" t="s">
        <v>76</v>
      </c>
      <c r="C14" s="68" t="s">
        <v>104</v>
      </c>
      <c r="D14" s="69" t="s">
        <v>85</v>
      </c>
      <c r="E14" s="70" t="e" cm="1">
        <f t="array" ref="E14">SUMIFS(BD[Chiffre_d''affaires],BD[Famille],S_famille,BD[Marque],B_Marque,BD[Année_N],E$6)/SUMIFS(BD[Volume],BD[Famille],S_famille,BD[Marque],B_Marque,BD[Année_N],E$6)</f>
        <v>#DIV/0!</v>
      </c>
      <c r="F14" s="70" t="e" cm="1">
        <f t="array" ref="F14">SUMIFS(BD[Chiffre_d''affaires],BD[Famille],S_famille,BD[Marque],B_Marque,BD[Année_N],F$6)/SUMIFS(BD[Volume],BD[Famille],S_famille,BD[Marque],B_Marque,BD[Année_N],F$6)</f>
        <v>#DIV/0!</v>
      </c>
      <c r="G14" s="71" t="e">
        <f t="shared" ref="G14" si="2">F14/E14-1</f>
        <v>#DIV/0!</v>
      </c>
      <c r="H14" s="70"/>
      <c r="I14" s="31" t="str">
        <f t="shared" ca="1" si="1"/>
        <v>=SUMIFS(BD[Chiffre_d''affaires];BD[Famille];S_famille;BD[Marque];B_Marque;BD[Année_N];E$6)/SUMIFS(BD[Volume];BD[Famille];S_famille;BD[Marque];B_Marque;BD[Année_N];E$6)</v>
      </c>
    </row>
    <row r="15" spans="2:9" x14ac:dyDescent="0.35">
      <c r="B15" s="56" t="s">
        <v>79</v>
      </c>
      <c r="C15" s="56" t="s">
        <v>106</v>
      </c>
      <c r="D15" s="63" t="s">
        <v>93</v>
      </c>
      <c r="E15" s="32"/>
      <c r="F15" s="32"/>
      <c r="G15" s="32"/>
      <c r="H15" s="32"/>
    </row>
    <row r="16" spans="2:9" x14ac:dyDescent="0.35">
      <c r="B16" s="56" t="s">
        <v>80</v>
      </c>
      <c r="C16" s="56" t="s">
        <v>106</v>
      </c>
      <c r="D16" s="63" t="s">
        <v>94</v>
      </c>
      <c r="E16" s="32"/>
      <c r="F16" s="32"/>
      <c r="G16" s="32"/>
      <c r="H16" s="32"/>
    </row>
    <row r="17" spans="2:8" x14ac:dyDescent="0.35">
      <c r="B17" s="5" t="s">
        <v>96</v>
      </c>
      <c r="C17" s="5" t="s">
        <v>106</v>
      </c>
      <c r="D17" s="64" t="s">
        <v>97</v>
      </c>
      <c r="E17" s="60"/>
      <c r="F17" s="60"/>
      <c r="G17" s="60"/>
      <c r="H17" s="60"/>
    </row>
    <row r="18" spans="2:8" x14ac:dyDescent="0.35">
      <c r="B18" s="5" t="s">
        <v>51</v>
      </c>
      <c r="C18" s="5" t="s">
        <v>106</v>
      </c>
      <c r="D18" s="64" t="s">
        <v>98</v>
      </c>
      <c r="E18" s="60"/>
      <c r="F18" s="60"/>
      <c r="G18" s="60"/>
      <c r="H18" s="60"/>
    </row>
    <row r="19" spans="2:8" x14ac:dyDescent="0.35">
      <c r="B19" s="5" t="s">
        <v>81</v>
      </c>
      <c r="C19" s="5" t="s">
        <v>106</v>
      </c>
      <c r="D19" s="64" t="s">
        <v>99</v>
      </c>
      <c r="E19" s="60"/>
      <c r="F19" s="60"/>
      <c r="G19" s="60"/>
      <c r="H19" s="60"/>
    </row>
    <row r="20" spans="2:8" x14ac:dyDescent="0.35">
      <c r="B20" s="5" t="s">
        <v>95</v>
      </c>
      <c r="C20" s="5" t="s">
        <v>106</v>
      </c>
      <c r="D20" s="64" t="s">
        <v>100</v>
      </c>
      <c r="E20" s="60"/>
      <c r="F20" s="60"/>
      <c r="G20" s="60"/>
      <c r="H20" s="60"/>
    </row>
    <row r="21" spans="2:8" x14ac:dyDescent="0.35">
      <c r="B21" s="5" t="s">
        <v>58</v>
      </c>
      <c r="C21" s="5" t="s">
        <v>106</v>
      </c>
      <c r="D21" s="64" t="s">
        <v>101</v>
      </c>
      <c r="E21" s="60"/>
      <c r="F21" s="60"/>
      <c r="G21" s="60"/>
      <c r="H21" s="60"/>
    </row>
    <row r="22" spans="2:8" x14ac:dyDescent="0.35">
      <c r="E22" s="61" t="e">
        <f>E9*E10*E11*E14</f>
        <v>#DIV/0!</v>
      </c>
      <c r="F22" s="61" t="e">
        <f>F9*F10*F11*F14</f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755A-8BF2-4E14-910F-15AFB035B47D}">
  <dimension ref="A1:J14"/>
  <sheetViews>
    <sheetView showGridLines="0" topLeftCell="A4" zoomScaleNormal="100" workbookViewId="0">
      <selection activeCell="J25" sqref="J25"/>
    </sheetView>
  </sheetViews>
  <sheetFormatPr defaultColWidth="9.21875" defaultRowHeight="18" x14ac:dyDescent="0.35"/>
  <cols>
    <col min="1" max="1" width="8.88671875" style="5" customWidth="1"/>
    <col min="2" max="2" width="8.88671875" customWidth="1"/>
    <col min="3" max="3" width="17.33203125" customWidth="1"/>
    <col min="5" max="5" width="11.88671875" bestFit="1" customWidth="1"/>
    <col min="6" max="6" width="8.88671875" bestFit="1" customWidth="1"/>
    <col min="7" max="7" width="11.21875" bestFit="1" customWidth="1"/>
    <col min="8" max="8" width="11" bestFit="1" customWidth="1"/>
    <col min="10" max="10" width="11.88671875" style="11" bestFit="1" customWidth="1"/>
  </cols>
  <sheetData>
    <row r="1" spans="3:10" s="5" customFormat="1" x14ac:dyDescent="0.35">
      <c r="J1" s="19"/>
    </row>
    <row r="3" spans="3:10" x14ac:dyDescent="0.35">
      <c r="C3" s="8" t="s">
        <v>59</v>
      </c>
    </row>
    <row r="4" spans="3:10" x14ac:dyDescent="0.35">
      <c r="C4" s="9" t="s">
        <v>60</v>
      </c>
    </row>
    <row r="6" spans="3:10" x14ac:dyDescent="0.35">
      <c r="C6" s="21" t="s">
        <v>61</v>
      </c>
      <c r="D6" s="35" t="e">
        <f>S_famille</f>
        <v>#N/A</v>
      </c>
    </row>
    <row r="8" spans="3:10" x14ac:dyDescent="0.35">
      <c r="C8" s="36" t="e" cm="1">
        <f t="array" ref="C8">B_Marque</f>
        <v>#N/A</v>
      </c>
      <c r="D8" s="37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</row>
    <row r="9" spans="3:10" ht="36" x14ac:dyDescent="0.35">
      <c r="C9" s="28" t="s">
        <v>73</v>
      </c>
      <c r="D9" s="43" t="e" cm="1">
        <f t="array" ref="D9">SUMPRODUCT(DN_N_1*Vol_par_dn_N_1*_xlfn.ANCHORARRAY(CALC_EFFETS!$E$10))*SUMPRODUCT(Prix_N_1*Mix_N_1*_xlfn.ANCHORARRAY(CALC_EFFETS!$E$10))</f>
        <v>#N/A</v>
      </c>
      <c r="E9" s="43" t="e">
        <f>D9</f>
        <v>#N/A</v>
      </c>
      <c r="I9">
        <v>0</v>
      </c>
      <c r="J9" s="47" t="e">
        <f>D9</f>
        <v>#N/A</v>
      </c>
    </row>
    <row r="10" spans="3:10" ht="36" x14ac:dyDescent="0.35">
      <c r="C10" s="28" t="s">
        <v>68</v>
      </c>
      <c r="D10" s="43" t="e" cm="1">
        <f t="array" ref="D10">SUMPRODUCT(DN_N*Vol_par_dn_N_1*_xlfn.ANCHORARRAY(CALC_EFFETS!$E$10))*SUMPRODUCT(Prix_N_1*Mix_N_1*_xlfn.ANCHORARRAY(CALC_EFFETS!$E$10))</f>
        <v>#N/A</v>
      </c>
      <c r="F10" s="43" t="e">
        <f>E9++F9+G9-H10-H9</f>
        <v>#N/A</v>
      </c>
      <c r="G10" s="45" t="e">
        <f>IF($D10-$D9&gt;0,$D10-$D9,0)</f>
        <v>#N/A</v>
      </c>
      <c r="H10" s="46" t="e">
        <f>ABS(IF($D10-$D9&lt;0,$D10-$D9,0))</f>
        <v>#N/A</v>
      </c>
      <c r="I10">
        <v>0</v>
      </c>
      <c r="J10" s="25" t="e">
        <f>TEXT((D10-D9)/1000000,"+# ##0,0;-# ##0,0;-")&amp;"M€
("&amp;TEXT((D10-D9)/$D$9,"+0,0%;-0,0%;=")&amp;")"</f>
        <v>#N/A</v>
      </c>
    </row>
    <row r="11" spans="3:10" ht="36" x14ac:dyDescent="0.35">
      <c r="C11" s="28" t="s">
        <v>69</v>
      </c>
      <c r="D11" s="43" t="e" cm="1">
        <f t="array" ref="D11">SUMPRODUCT(DN_N*Vol_par_dn_N*_xlfn.ANCHORARRAY(CALC_EFFETS!$E$10))*SUMPRODUCT(Prix_N_1*Mix_N_1*_xlfn.ANCHORARRAY(CALC_EFFETS!$E$10))</f>
        <v>#N/A</v>
      </c>
      <c r="F11" s="43" t="e">
        <f t="shared" ref="F11:F13" si="0">E10++F10+G10-H11</f>
        <v>#N/A</v>
      </c>
      <c r="G11" s="45" t="e">
        <f t="shared" ref="G11:G13" si="1">IF($D11-$D10&gt;0,$D11-$D10,0)</f>
        <v>#N/A</v>
      </c>
      <c r="H11" s="46" t="e">
        <f t="shared" ref="H11:H13" si="2">ABS(IF($D11-$D10&lt;0,$D11-$D10,0))</f>
        <v>#N/A</v>
      </c>
      <c r="I11">
        <v>0</v>
      </c>
      <c r="J11" s="25" t="e">
        <f t="shared" ref="J11:J13" si="3">TEXT((D11-D10)/1000000,"+# ##0,0;-# ##0,0;-")&amp;"M€
("&amp;TEXT((D11-D10)/$D$9,"+0,0%;-0,0%;=")&amp;")"</f>
        <v>#N/A</v>
      </c>
    </row>
    <row r="12" spans="3:10" ht="36" x14ac:dyDescent="0.35">
      <c r="C12" s="28" t="s">
        <v>70</v>
      </c>
      <c r="D12" s="43" t="e" cm="1">
        <f t="array" ref="D12">SUMPRODUCT(DN_N*Vol_par_dn_N*_xlfn.ANCHORARRAY(CALC_EFFETS!$E$10))*SUMPRODUCT(Prix_N*Mix_N_1*_xlfn.ANCHORARRAY(CALC_EFFETS!$E$10))</f>
        <v>#N/A</v>
      </c>
      <c r="F12" s="43" t="e">
        <f t="shared" si="0"/>
        <v>#N/A</v>
      </c>
      <c r="G12" s="45" t="e">
        <f t="shared" si="1"/>
        <v>#N/A</v>
      </c>
      <c r="H12" s="46" t="e">
        <f t="shared" si="2"/>
        <v>#N/A</v>
      </c>
      <c r="I12">
        <v>0</v>
      </c>
      <c r="J12" s="25" t="e">
        <f t="shared" si="3"/>
        <v>#N/A</v>
      </c>
    </row>
    <row r="13" spans="3:10" ht="36" x14ac:dyDescent="0.35">
      <c r="C13" s="28" t="s">
        <v>71</v>
      </c>
      <c r="D13" s="43" t="e" cm="1">
        <f t="array" ref="D13">SUMPRODUCT(DN_N*Vol_par_dn_N*_xlfn.ANCHORARRAY(CALC_EFFETS!$E$10))*SUMPRODUCT(Prix_N*Mix_N*_xlfn.ANCHORARRAY(CALC_EFFETS!$E$10))</f>
        <v>#N/A</v>
      </c>
      <c r="F13" s="43" t="e">
        <f t="shared" si="0"/>
        <v>#N/A</v>
      </c>
      <c r="G13" s="45" t="e">
        <f t="shared" si="1"/>
        <v>#N/A</v>
      </c>
      <c r="H13" s="46" t="e">
        <f t="shared" si="2"/>
        <v>#N/A</v>
      </c>
      <c r="I13">
        <v>0</v>
      </c>
      <c r="J13" s="25" t="e">
        <f t="shared" si="3"/>
        <v>#N/A</v>
      </c>
    </row>
    <row r="14" spans="3:10" ht="36" x14ac:dyDescent="0.35">
      <c r="C14" s="28" t="s">
        <v>72</v>
      </c>
      <c r="D14" s="43" t="e" cm="1">
        <f t="array" ref="D14">SUMPRODUCT(DN_N*Vol_par_dn_N*_xlfn.ANCHORARRAY(CALC_EFFETS!$E$10))*SUMPRODUCT(Prix_N*Mix_N*_xlfn.ANCHORARRAY(CALC_EFFETS!$E$10))</f>
        <v>#N/A</v>
      </c>
      <c r="E14" s="43" t="e">
        <f>D14</f>
        <v>#N/A</v>
      </c>
      <c r="I14">
        <v>0</v>
      </c>
      <c r="J14" s="47" t="e">
        <f>TEXT(D14/1000000,"# ##0,0")&amp;"M€
("&amp;TEXT((D14-D9)/$D$9,"+0,0%;-0,0%;=")&amp;")"</f>
        <v>#N/A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Data -&gt;</vt:lpstr>
      <vt:lpstr>D001</vt:lpstr>
      <vt:lpstr>D002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CALC_EFFETS</vt:lpstr>
      <vt:lpstr>Sheet4</vt:lpstr>
      <vt:lpstr>Chart</vt:lpstr>
      <vt:lpstr>B_Marque</vt:lpstr>
      <vt:lpstr>S_famille</vt:lpstr>
      <vt:lpstr>S_marque</vt:lpstr>
      <vt:lpstr>Unité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2025-10-14T08:13:42Z</dcterms:modified>
</cp:coreProperties>
</file>