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templates\01a - Promotion (méthode)\1.0\"/>
    </mc:Choice>
  </mc:AlternateContent>
  <xr:revisionPtr revIDLastSave="0" documentId="8_{2524CE42-43C9-450B-B1D3-97A7D7B3AF0C}" xr6:coauthVersionLast="47" xr6:coauthVersionMax="47" xr10:uidLastSave="{00000000-0000-0000-0000-000000000000}"/>
  <bookViews>
    <workbookView xWindow="-28920" yWindow="-60" windowWidth="29040" windowHeight="15720" activeTab="1" xr2:uid="{1FFF5854-B54B-4C80-B65C-C43C5EF7384C}"/>
  </bookViews>
  <sheets>
    <sheet name="Data -&gt;" sheetId="52" r:id="rId1"/>
    <sheet name="SELL_OUT" sheetId="54" r:id="rId2"/>
    <sheet name="Settings -&gt;" sheetId="51" r:id="rId3"/>
    <sheet name="Paramètrage" sheetId="53" r:id="rId4"/>
    <sheet name="Balises" sheetId="9" r:id="rId5"/>
    <sheet name="Boucles" sheetId="5" r:id="rId6"/>
    <sheet name="Liste" sheetId="49" r:id="rId7"/>
    <sheet name="Tables" sheetId="48" r:id="rId8"/>
    <sheet name="Analyses -&gt;" sheetId="50" r:id="rId9"/>
    <sheet name="Analyses" sheetId="55" r:id="rId10"/>
  </sheets>
  <definedNames>
    <definedName name="L_Dates">_xlfn.ANCHORARRAY(Liste!$C$7)</definedName>
    <definedName name="L_Marques">_xlfn.ANCHORARRAY(Liste!$E$7)</definedName>
    <definedName name="S_Marque">Loop[Résultat]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9" l="1" a="1"/>
  <c r="E7" i="49" s="1"/>
  <c r="C7" i="49" a="1"/>
  <c r="C7" i="49" s="1"/>
  <c r="C7" i="55" l="1" a="1"/>
  <c r="C7" i="55" s="1"/>
  <c r="F7" i="5" a="1"/>
  <c r="F7" i="5" s="1"/>
  <c r="E7" i="5"/>
  <c r="D7" i="55" l="1" a="1"/>
  <c r="D7" i="55" s="1"/>
  <c r="E7" i="55" a="1"/>
  <c r="E7" i="55" s="1"/>
  <c r="E9" i="9" a="1"/>
  <c r="E9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6A964-04AA-46EB-9E37-625440A32D0E}" keepAlive="1" name="Query - Entreprises" description="Connection to the 'Entreprises' query in the workbook." type="5" refreshedVersion="0" background="1">
    <dbPr connection="Provider=Microsoft.Mashup.OleDb.1;Data Source=$Workbook$;Location=Entreprises;Extended Properties=&quot;&quot;" command="SELECT * FROM [Entreprises]"/>
  </connection>
  <connection id="2" xr16:uid="{3FB6F79A-742B-4785-AB9F-4533DD32B003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<sst xmlns="http://schemas.openxmlformats.org/spreadsheetml/2006/main" count="84" uniqueCount="78">
  <si>
    <t>Balise</t>
  </si>
  <si>
    <t>Valeur</t>
  </si>
  <si>
    <t>Desc</t>
  </si>
  <si>
    <t>[@SUPR@]</t>
  </si>
  <si>
    <t>ID</t>
  </si>
  <si>
    <t>Itération</t>
  </si>
  <si>
    <t>Nombre de tests</t>
  </si>
  <si>
    <t>Résultat</t>
  </si>
  <si>
    <t>Toutes les pages présentant le code suivant seront supprimées</t>
  </si>
  <si>
    <t xml:space="preserve">L'ensemble des balises rencontrées dans le fichier PDF seront dynamiquement remplacées par la "Valeur". 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</si>
  <si>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Balises de texte à remplacer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</si>
  <si>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Itérations</t>
    </r>
  </si>
  <si>
    <t>Page dédiée à la construction des tables à injecter dans la présentation</t>
  </si>
  <si>
    <r>
      <rPr>
        <b/>
        <sz val="11"/>
        <color theme="4"/>
        <rFont val="Lato"/>
        <family val="2"/>
      </rPr>
      <t>03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Listes</t>
    </r>
  </si>
  <si>
    <t>Page dédiée à l'ensemble des listes à réutiliser dans le projet (ex. liste des clients triés).</t>
  </si>
  <si>
    <r>
      <rPr>
        <b/>
        <sz val="11"/>
        <color theme="4"/>
        <rFont val="Lato"/>
        <family val="2"/>
      </rPr>
      <t>04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Tables</t>
    </r>
  </si>
  <si>
    <r>
      <rPr>
        <b/>
        <sz val="11"/>
        <color theme="4"/>
        <rFont val="Lato"/>
        <family val="2"/>
      </rPr>
      <t>00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Paramétrage</t>
    </r>
  </si>
  <si>
    <t>Centralisez tous les paramètres devant être saisis par l'utilisateur pour faire fonctionner le modèle</t>
  </si>
  <si>
    <t>Date_début</t>
  </si>
  <si>
    <t>id_produit_sell_out</t>
  </si>
  <si>
    <t>Carrefour</t>
  </si>
  <si>
    <t>HM</t>
  </si>
  <si>
    <t>France</t>
  </si>
  <si>
    <t>PP211820</t>
  </si>
  <si>
    <t>ELS Phytocl Shp Greasy Hair Fl250</t>
  </si>
  <si>
    <t>EUR</t>
  </si>
  <si>
    <t>Elseve Haircare</t>
  </si>
  <si>
    <t>Elseve Phytoclear</t>
  </si>
  <si>
    <t>Cheveux</t>
  </si>
  <si>
    <t>Shampoing</t>
  </si>
  <si>
    <t>Products for sale</t>
  </si>
  <si>
    <t>Shampoings Réguliers</t>
  </si>
  <si>
    <t>SM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</si>
  <si>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Analyses basiques</t>
    </r>
  </si>
  <si>
    <t>Dates</t>
  </si>
  <si>
    <t>Marque</t>
  </si>
  <si>
    <t>Produits</t>
  </si>
  <si>
    <t>[Marque]</t>
  </si>
  <si>
    <t>Date_fin</t>
  </si>
  <si>
    <t>Periode_ID</t>
  </si>
  <si>
    <t>Distributeur</t>
  </si>
  <si>
    <t>Enseigne</t>
  </si>
  <si>
    <t>Canal</t>
  </si>
  <si>
    <t>Marché</t>
  </si>
  <si>
    <t>Région</t>
  </si>
  <si>
    <t>ID_produit</t>
  </si>
  <si>
    <t>Nom_produit</t>
  </si>
  <si>
    <t>Devise</t>
  </si>
  <si>
    <t>Ventes_valeur</t>
  </si>
  <si>
    <t>Ventes_unites</t>
  </si>
  <si>
    <t>Ventes_volume_eq</t>
  </si>
  <si>
    <t>Prix_moyen_unite</t>
  </si>
  <si>
    <t>Ventes_promo_valeur</t>
  </si>
  <si>
    <t>Ventes_hors_promo_valeur</t>
  </si>
  <si>
    <t>Ventes_promo_unite</t>
  </si>
  <si>
    <t>Ventes_hors_promo_unite</t>
  </si>
  <si>
    <t>Ventes_promo_volume_eq</t>
  </si>
  <si>
    <t>Ventes_hors_promo_volume_eq</t>
  </si>
  <si>
    <t>Distribution_numérique</t>
  </si>
  <si>
    <t>Distribution_valeur</t>
  </si>
  <si>
    <t>Nb_points_vente</t>
  </si>
  <si>
    <t>groupe</t>
  </si>
  <si>
    <t>fabricant</t>
  </si>
  <si>
    <t>marque</t>
  </si>
  <si>
    <t>sous_marque</t>
  </si>
  <si>
    <t>axe</t>
  </si>
  <si>
    <t>categorie</t>
  </si>
  <si>
    <t>segment</t>
  </si>
  <si>
    <t>sous_segment</t>
  </si>
  <si>
    <t>type_produit</t>
  </si>
  <si>
    <t>unite_format</t>
  </si>
  <si>
    <t>format_pack</t>
  </si>
  <si>
    <t>contenance_unitaire_valeur</t>
  </si>
  <si>
    <t>contenance_unitaire_unite</t>
  </si>
  <si>
    <t>nb_unites_par_pack</t>
  </si>
  <si>
    <t>unite_eq</t>
  </si>
  <si>
    <t>statut_catalogue</t>
  </si>
  <si>
    <t>date_lancement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</si>
</sst>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theme="4"/>
      <name val="Lato"/>
      <family val="2"/>
    </font>
    <font>
      <i/>
      <sz val="11"/>
      <color theme="1"/>
      <name val="Lato"/>
      <family val="2"/>
    </font>
    <font>
      <b/>
      <sz val="11"/>
      <color theme="0" tint="-0.14999847407452621"/>
      <name val="Lato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7D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5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0" fillId="7" borderId="0" xfId="0" applyFill="1"/>
    <xf numFmtId="0" fontId="0" fillId="8" borderId="1" xfId="0" applyFill="1" applyBorder="1" applyAlignment="1">
      <alignment horizontal="center"/>
    </xf>
    <xf numFmtId="15" fontId="0" fillId="0" borderId="0" xfId="0" applyNumberFormat="1"/>
    <xf numFmtId="164" fontId="0" fillId="5" borderId="0" xfId="0" applyNumberFormat="1" applyFill="1"/>
    <xf numFmtId="164" fontId="3" fillId="0" borderId="0" xfId="0" applyNumberFormat="1" applyFont="1"/>
    <xf numFmtId="164" fontId="6" fillId="0" borderId="0" xfId="0" applyNumberFormat="1" applyFont="1"/>
    <xf numFmtId="164" fontId="1" fillId="9" borderId="0" xfId="0" applyNumberFormat="1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7D4D8"/>
      <color rgb="FFE2F0D9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Analyses!$D$6</c:f>
              <c:strCache>
                <c:ptCount val="1"/>
                <c:pt idx="0">
                  <c:v>HM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Analyses!$C$7:$C$130</c:f>
              <c:numCache>
                <c:formatCode>dd\ mmm\ yy</c:formatCode>
                <c:ptCount val="124"/>
                <c:pt idx="0">
                  <c:v>44060</c:v>
                </c:pt>
              </c:numCache>
            </c:numRef>
          </c:cat>
          <c:val>
            <c:numRef>
              <c:f>Analyses!$D$7:$D$130</c:f>
              <c:numCache>
                <c:formatCode>General</c:formatCode>
                <c:ptCount val="12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0-4793-B852-EABA3E3C0132}"/>
            </c:ext>
          </c:extLst>
        </c:ser>
        <c:ser>
          <c:idx val="1"/>
          <c:order val="1"/>
          <c:tx>
            <c:strRef>
              <c:f>Analyses!$E$6</c:f>
              <c:strCache>
                <c:ptCount val="1"/>
                <c:pt idx="0">
                  <c:v>SM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Analyses!$C$7:$C$130</c:f>
              <c:numCache>
                <c:formatCode>dd\ mmm\ yy</c:formatCode>
                <c:ptCount val="124"/>
                <c:pt idx="0">
                  <c:v>44060</c:v>
                </c:pt>
              </c:numCache>
            </c:numRef>
          </c:cat>
          <c:val>
            <c:numRef>
              <c:f>Analyses!$E$7:$E$130</c:f>
              <c:numCache>
                <c:formatCode>General</c:formatCode>
                <c:ptCount val="12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0-4793-B852-EABA3E3C0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645632"/>
        <c:axId val="1004648032"/>
      </c:areaChart>
      <c:dateAx>
        <c:axId val="100464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Début de la semaine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mmm\ 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4648032"/>
        <c:crosses val="autoZero"/>
        <c:auto val="1"/>
        <c:lblOffset val="100"/>
        <c:baseTimeUnit val="days"/>
      </c:dateAx>
      <c:valAx>
        <c:axId val="1004648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Volumes</a:t>
                </a:r>
                <a:r>
                  <a:rPr lang="fr-FR" baseline="0"/>
                  <a:t> vendus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4645632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271462</xdr:colOff>
      <xdr:row>103</xdr:row>
      <xdr:rowOff>14287</xdr:rowOff>
    </xdr:from>
    <xdr:to>
      <xdr:col>8</xdr:col>
      <xdr:colOff>757237</xdr:colOff>
      <xdr:row>115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BF162F-C353-E835-5093-40F856403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2CE58-B55B-4F3F-ADDA-FB030A0B8EDA}" name="SELL_OUT" displayName="SELL_OUT" ref="B3:AQ4" totalsRowShown="0">
  <autoFilter ref="B3:AQ4" xr:uid="{5AE2CE58-B55B-4F3F-ADDA-FB030A0B8EDA}"/>
  <tableColumns count="42">
    <tableColumn id="1" xr3:uid="{D5FBE5A6-1253-45C2-BB58-09E618DA1E78}" name="Date_début"/>
    <tableColumn id="2" xr3:uid="{8B3DE3FB-6819-4C4A-86B8-8F692D103777}" name="Date_fin"/>
    <tableColumn id="3" xr3:uid="{B93C0D7D-852E-49DC-94BB-094B2D4AD1A5}" name="Periode_ID"/>
    <tableColumn id="4" xr3:uid="{A0B75E25-CEA4-473C-AC0A-E4D641F7F240}" name="Distributeur"/>
    <tableColumn id="5" xr3:uid="{21F538BE-ABBA-45B7-AB55-5E2D96BF5549}" name="Enseigne"/>
    <tableColumn id="6" xr3:uid="{9C1161F1-47F5-462B-AFBE-12FDFC2B57F6}" name="Canal"/>
    <tableColumn id="7" xr3:uid="{1BAC4D66-D7F1-495D-9B6F-5E26E13E0103}" name="Marché"/>
    <tableColumn id="8" xr3:uid="{1A3B1ACF-476A-4998-8E2D-C486A7E60D7E}" name="Région"/>
    <tableColumn id="9" xr3:uid="{0B11B97B-4F61-44BA-8832-DE5F986DC2EB}" name="ID_produit"/>
    <tableColumn id="10" xr3:uid="{5316A960-D3C6-48EF-8496-9198DF9BD3D1}" name="Nom_produit"/>
    <tableColumn id="11" xr3:uid="{6B8E1B0C-C9E8-4817-97AF-777D844331FD}" name="Devise"/>
    <tableColumn id="12" xr3:uid="{C45F52A3-182B-4C4D-A709-13AF4E298288}" name="Ventes_valeur"/>
    <tableColumn id="13" xr3:uid="{834A7F49-0293-483F-A326-D2702063C49C}" name="Ventes_unites"/>
    <tableColumn id="14" xr3:uid="{B50B04BA-8DB7-4A25-9662-FD05636C85B9}" name="Ventes_volume_eq"/>
    <tableColumn id="15" xr3:uid="{25CB5C46-24F5-49CE-B8CA-5394AA4CB265}" name="Prix_moyen_unite"/>
    <tableColumn id="16" xr3:uid="{331EDBEC-C89D-4BA9-B7CB-CF3EE336DE27}" name="Ventes_promo_valeur"/>
    <tableColumn id="17" xr3:uid="{25612D60-2BC9-42D9-AB1F-3DB82BA12375}" name="Ventes_hors_promo_valeur"/>
    <tableColumn id="18" xr3:uid="{EE251167-7C44-47B6-A0FA-5E5AEC58395C}" name="Ventes_promo_unite"/>
    <tableColumn id="19" xr3:uid="{72374869-BEB1-48E1-BF97-447600E6C21B}" name="Ventes_hors_promo_unite"/>
    <tableColumn id="20" xr3:uid="{2D1E378F-26F6-4E2A-92E0-1AD43309E92F}" name="Ventes_promo_volume_eq"/>
    <tableColumn id="21" xr3:uid="{2AC16B0E-6DFD-452C-B650-AD788E61D1DE}" name="Ventes_hors_promo_volume_eq"/>
    <tableColumn id="22" xr3:uid="{91505FFA-6FE4-43D5-9A4C-43C72300853A}" name="Distribution_numérique"/>
    <tableColumn id="23" xr3:uid="{58B9835A-09EE-4DC6-A9A9-B2F6CD620C6A}" name="Distribution_valeur"/>
    <tableColumn id="24" xr3:uid="{5AF44903-114A-4B22-B5E9-95BF8F949320}" name="Nb_points_vente"/>
    <tableColumn id="25" xr3:uid="{1121B4D1-C57E-480B-BD1D-BB1EB0B8316C}" name="id_produit_sell_out"/>
    <tableColumn id="26" xr3:uid="{91838864-EDCF-4698-9BE0-55B9643C95F6}" name="groupe"/>
    <tableColumn id="27" xr3:uid="{DD698F51-6EB1-4D23-8531-2AD4E36F0A2D}" name="fabricant"/>
    <tableColumn id="28" xr3:uid="{D4CD5932-16E9-425D-A71D-B77E874C92A8}" name="marque"/>
    <tableColumn id="29" xr3:uid="{0E63748B-7AC9-4418-A683-DCCC87519838}" name="sous_marque"/>
    <tableColumn id="30" xr3:uid="{5F8B38A2-C523-477C-9C68-F84146D859D0}" name="axe"/>
    <tableColumn id="31" xr3:uid="{CF98E609-2C21-478C-891C-99756E5628F9}" name="categorie"/>
    <tableColumn id="32" xr3:uid="{88734C89-C4A3-41CF-A6E9-881DFE7C510F}" name="segment"/>
    <tableColumn id="33" xr3:uid="{15F78861-AA4D-4364-8E4E-BEA9DC4B921B}" name="sous_segment"/>
    <tableColumn id="34" xr3:uid="{A52454C0-DF0F-4AEC-9351-22AA81C128EF}" name="type_produit"/>
    <tableColumn id="35" xr3:uid="{5B547D73-7525-4818-9634-E50F6498EE4D}" name="unite_format"/>
    <tableColumn id="36" xr3:uid="{43348E1B-ACAA-48B9-B4D2-507AA5AF52D4}" name="format_pack"/>
    <tableColumn id="37" xr3:uid="{F0F5797C-2D9A-44BC-A79C-6E420594C0F5}" name="contenance_unitaire_valeur"/>
    <tableColumn id="38" xr3:uid="{AC9378A4-D812-47E8-8EFC-1CFE9AA83069}" name="contenance_unitaire_unite"/>
    <tableColumn id="39" xr3:uid="{ED22E5DB-66EC-4F45-872C-A5ADEE268686}" name="nb_unites_par_pack"/>
    <tableColumn id="40" xr3:uid="{735E1C99-77F9-4561-A1D6-1187D66142D6}" name="unite_eq"/>
    <tableColumn id="41" xr3:uid="{1DF1FCA3-BA15-461D-A038-7EE5463E0A79}" name="statut_catalogue"/>
    <tableColumn id="42" xr3:uid="{E4B393E9-076F-4C74-9F29-086CA1E19909}" name="date_lanc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8:E9" totalsRowShown="0" headerRowDxfId="10" dataDxfId="9">
  <autoFilter ref="C8:E9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 array="1">S_Marque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C6:F7" totalsRowShown="0" headerRowDxfId="5" tableBorderDxfId="4">
  <autoFilter ref="C6:F7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>
      <calculatedColumnFormula>COUNTA(L_Marques)</calculatedColumnFormula>
    </tableColumn>
    <tableColumn id="4" xr3:uid="{5E26AB54-DDBA-4A1A-B5B5-6BF98CC52480}" name="Résultat" dataDxfId="0">
      <calculatedColumnFormula array="1">INDEX(L_Marques,Loop[[#This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421-A083-4793-9C56-945BCD7CE526}">
  <sheetPr>
    <tabColor theme="1" tint="9.9978637043366805E-2"/>
  </sheetPr>
  <dimension ref="A1"/>
  <sheetViews>
    <sheetView showGridLines="0" workbookViewId="0">
      <selection activeCell="E29" sqref="E29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5EEA-3A45-47E6-9586-A2D168FD0C90}">
  <sheetPr>
    <tabColor theme="1" tint="0.749992370372631"/>
  </sheetPr>
  <dimension ref="B3:AQ4"/>
  <sheetViews>
    <sheetView showGridLines="0" tabSelected="1" topLeftCell="U1" workbookViewId="0">
      <selection activeCell="U5" sqref="A5:XFD1048576"/>
    </sheetView>
  </sheetViews>
  <sheetFormatPr defaultRowHeight="18" x14ac:dyDescent="0.35"/>
  <cols>
    <col min="2" max="2" width="11.33203125" customWidth="1"/>
  </cols>
  <sheetData>
    <row r="3" spans="2:43" x14ac:dyDescent="0.35">
      <c r="B3" t="s">
        <v>18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19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  <c r="AF3" t="s">
        <v>66</v>
      </c>
      <c r="AG3" t="s">
        <v>67</v>
      </c>
      <c r="AH3" t="s">
        <v>68</v>
      </c>
      <c r="AI3" t="s">
        <v>69</v>
      </c>
      <c r="AJ3" t="s">
        <v>70</v>
      </c>
      <c r="AK3" t="s">
        <v>71</v>
      </c>
      <c r="AL3" t="s">
        <v>72</v>
      </c>
      <c r="AM3" t="s">
        <v>73</v>
      </c>
      <c r="AN3" t="s">
        <v>74</v>
      </c>
      <c r="AO3" t="s">
        <v>75</v>
      </c>
      <c r="AP3" t="s">
        <v>76</v>
      </c>
      <c r="AQ3" t="s">
        <v>77</v>
      </c>
    </row>
    <row r="4" spans="2:43" x14ac:dyDescent="0.35">
      <c r="B4" s="13">
        <v>44060</v>
      </c>
      <c r="C4" s="13">
        <v>44066</v>
      </c>
      <c r="D4">
        <v>1</v>
      </c>
      <c r="E4" t="s">
        <v>20</v>
      </c>
      <c r="F4" t="s">
        <v>20</v>
      </c>
      <c r="G4" t="s">
        <v>21</v>
      </c>
      <c r="H4" t="s">
        <v>22</v>
      </c>
      <c r="I4" t="s">
        <v>22</v>
      </c>
      <c r="J4" t="s">
        <v>23</v>
      </c>
      <c r="K4" t="s">
        <v>24</v>
      </c>
      <c r="L4" t="s">
        <v>25</v>
      </c>
      <c r="N4">
        <v>0</v>
      </c>
      <c r="O4">
        <v>0</v>
      </c>
      <c r="AC4" t="s">
        <v>26</v>
      </c>
      <c r="AD4" t="s">
        <v>27</v>
      </c>
      <c r="AE4" t="s">
        <v>28</v>
      </c>
      <c r="AF4" t="s">
        <v>29</v>
      </c>
      <c r="AG4" t="s">
        <v>30</v>
      </c>
      <c r="AH4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BFC-383C-45E5-A040-BEE4F8F61B6F}">
  <sheetPr>
    <tabColor theme="1" tint="9.9978637043366805E-2"/>
  </sheetPr>
  <dimension ref="A1"/>
  <sheetViews>
    <sheetView showGridLines="0" workbookViewId="0">
      <selection activeCell="D24" sqref="D24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EDE1-7C2C-4CA0-9D01-11D3699B5D3D}">
  <sheetPr>
    <tabColor theme="1" tint="0.749992370372631"/>
  </sheetPr>
  <dimension ref="A1:C8"/>
  <sheetViews>
    <sheetView showGridLines="0" workbookViewId="0">
      <selection activeCell="D10" sqref="A1:XFD1048576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16</v>
      </c>
    </row>
    <row r="4" spans="3:3" x14ac:dyDescent="0.35">
      <c r="C4" s="10" t="s">
        <v>17</v>
      </c>
    </row>
    <row r="8" spans="3:3" x14ac:dyDescent="0.35">
      <c r="C8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B1:F9"/>
  <sheetViews>
    <sheetView showGridLines="0" showRowColHeaders="0" zoomScaleNormal="100" workbookViewId="0">
      <selection activeCell="C10" sqref="C10"/>
    </sheetView>
  </sheetViews>
  <sheetFormatPr defaultRowHeight="18" x14ac:dyDescent="0.35"/>
  <cols>
    <col min="1" max="1" width="8.88671875" style="5"/>
    <col min="3" max="3" width="24.44140625" bestFit="1" customWidth="1"/>
    <col min="4" max="4" width="38.33203125" bestFit="1" customWidth="1"/>
    <col min="5" max="5" width="66.109375" bestFit="1" customWidth="1"/>
    <col min="7" max="16384" width="8.88671875" style="5"/>
  </cols>
  <sheetData>
    <row r="1" spans="2:6" x14ac:dyDescent="0.35">
      <c r="B1" s="5"/>
      <c r="C1" s="5"/>
      <c r="D1" s="5"/>
      <c r="E1" s="5"/>
      <c r="F1" s="5"/>
    </row>
    <row r="3" spans="2:6" x14ac:dyDescent="0.35">
      <c r="C3" s="9" t="s">
        <v>10</v>
      </c>
    </row>
    <row r="4" spans="2:6" x14ac:dyDescent="0.35">
      <c r="C4" s="10" t="s">
        <v>9</v>
      </c>
    </row>
    <row r="6" spans="2:6" x14ac:dyDescent="0.35">
      <c r="D6" s="8" t="s">
        <v>8</v>
      </c>
      <c r="E6" s="7" t="s">
        <v>3</v>
      </c>
    </row>
    <row r="8" spans="2:6" x14ac:dyDescent="0.35">
      <c r="C8" s="1" t="s">
        <v>0</v>
      </c>
      <c r="D8" s="1" t="s">
        <v>2</v>
      </c>
      <c r="E8" s="1" t="s">
        <v>1</v>
      </c>
    </row>
    <row r="9" spans="2:6" x14ac:dyDescent="0.35">
      <c r="C9" s="6" t="s">
        <v>37</v>
      </c>
      <c r="D9" s="6" t="s">
        <v>35</v>
      </c>
      <c r="E9" s="6" t="str" cm="1">
        <f t="array" ref="E9">S_Marque</f>
        <v>Elseve Haircare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1:G7"/>
  <sheetViews>
    <sheetView showGridLines="0" workbookViewId="0">
      <selection activeCell="F7" sqref="F7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  <col min="8" max="16384" width="8.88671875" style="5"/>
  </cols>
  <sheetData>
    <row r="1" spans="2:7" x14ac:dyDescent="0.35">
      <c r="B1" s="5"/>
      <c r="C1" s="5"/>
      <c r="D1" s="5"/>
      <c r="E1" s="5"/>
      <c r="F1" s="5"/>
      <c r="G1" s="5"/>
    </row>
    <row r="3" spans="2:7" x14ac:dyDescent="0.35">
      <c r="C3" s="9" t="s">
        <v>11</v>
      </c>
    </row>
    <row r="4" spans="2:7" x14ac:dyDescent="0.35">
      <c r="C4" s="10" t="s">
        <v>9</v>
      </c>
    </row>
    <row r="5" spans="2:7" x14ac:dyDescent="0.35">
      <c r="C5" s="10"/>
    </row>
    <row r="6" spans="2:7" x14ac:dyDescent="0.35">
      <c r="C6" s="2" t="s">
        <v>4</v>
      </c>
      <c r="D6" s="2" t="s">
        <v>5</v>
      </c>
      <c r="E6" s="2" t="s">
        <v>6</v>
      </c>
      <c r="F6" s="2" t="s">
        <v>7</v>
      </c>
    </row>
    <row r="7" spans="2:7" x14ac:dyDescent="0.35">
      <c r="C7" s="3" t="s">
        <v>35</v>
      </c>
      <c r="D7" s="12">
        <v>1</v>
      </c>
      <c r="E7" s="4">
        <f>COUNTA(L_Marques)</f>
        <v>1</v>
      </c>
      <c r="F7" s="3" t="str" cm="1">
        <f t="array" ref="F7">INDEX(L_Marques,Loop[[#This Row],[Itération]])</f>
        <v>Elseve Haircare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E71-DE17-4D4C-BDEA-03D77B89170F}">
  <sheetPr>
    <tabColor theme="1" tint="0.749992370372631"/>
  </sheetPr>
  <dimension ref="A1:E8"/>
  <sheetViews>
    <sheetView showGridLines="0" workbookViewId="0">
      <selection activeCell="E8" sqref="E8"/>
    </sheetView>
  </sheetViews>
  <sheetFormatPr defaultRowHeight="18" x14ac:dyDescent="0.35"/>
  <cols>
    <col min="1" max="1" width="8.88671875" style="5"/>
    <col min="3" max="3" width="12.21875" style="18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5" s="5" customFormat="1" x14ac:dyDescent="0.35">
      <c r="C1" s="14"/>
    </row>
    <row r="3" spans="3:5" x14ac:dyDescent="0.35">
      <c r="C3" s="15" t="s">
        <v>13</v>
      </c>
    </row>
    <row r="4" spans="3:5" x14ac:dyDescent="0.35">
      <c r="C4" s="16" t="s">
        <v>14</v>
      </c>
    </row>
    <row r="6" spans="3:5" x14ac:dyDescent="0.35">
      <c r="C6" s="17" t="s">
        <v>34</v>
      </c>
      <c r="E6" s="17" t="s">
        <v>36</v>
      </c>
    </row>
    <row r="7" spans="3:5" x14ac:dyDescent="0.35">
      <c r="C7" s="18" cm="1">
        <f t="array" ref="C7">_xlfn.UNIQUE(SELL_OUT[Date_début])</f>
        <v>44060</v>
      </c>
      <c r="E7" s="18" t="str" cm="1">
        <f t="array" ref="E7">_xlfn.UNIQUE(SELL_OUT[marque])</f>
        <v>Elseve Haircare</v>
      </c>
    </row>
    <row r="8" spans="3:5" x14ac:dyDescent="0.35">
      <c r="C8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111-3B59-41A1-BB6B-B78335779B29}">
  <sheetPr>
    <tabColor theme="1" tint="0.749992370372631"/>
  </sheetPr>
  <dimension ref="A1:C8"/>
  <sheetViews>
    <sheetView showGridLines="0" workbookViewId="0">
      <selection activeCell="D10" sqref="D10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15</v>
      </c>
    </row>
    <row r="4" spans="3:3" x14ac:dyDescent="0.35">
      <c r="C4" s="10" t="s">
        <v>12</v>
      </c>
    </row>
    <row r="8" spans="3:3" x14ac:dyDescent="0.35">
      <c r="C8" s="10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F7C-EBB7-4520-B112-23863CFF38C4}">
  <sheetPr>
    <tabColor theme="1" tint="9.9978637043366805E-2"/>
  </sheetPr>
  <dimension ref="A1"/>
  <sheetViews>
    <sheetView showGridLines="0" workbookViewId="0">
      <selection activeCell="D8" sqref="D8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BF3-FE82-40E2-9E8C-E0E69BF543C2}">
  <sheetPr>
    <tabColor theme="1" tint="0.749992370372631"/>
  </sheetPr>
  <dimension ref="A1:E8"/>
  <sheetViews>
    <sheetView showGridLines="0" topLeftCell="A6" workbookViewId="0">
      <selection activeCell="F32" sqref="F32"/>
    </sheetView>
  </sheetViews>
  <sheetFormatPr defaultRowHeight="18" x14ac:dyDescent="0.35"/>
  <cols>
    <col min="1" max="1" width="8.88671875" style="5"/>
    <col min="3" max="3" width="12.21875" style="18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5" s="5" customFormat="1" x14ac:dyDescent="0.35">
      <c r="C1" s="14"/>
    </row>
    <row r="3" spans="3:5" x14ac:dyDescent="0.35">
      <c r="C3" s="15" t="s">
        <v>33</v>
      </c>
    </row>
    <row r="4" spans="3:5" x14ac:dyDescent="0.35">
      <c r="C4" s="16" t="s">
        <v>17</v>
      </c>
    </row>
    <row r="6" spans="3:5" x14ac:dyDescent="0.35">
      <c r="D6" s="19" t="s">
        <v>21</v>
      </c>
      <c r="E6" s="19" t="s">
        <v>32</v>
      </c>
    </row>
    <row r="7" spans="3:5" x14ac:dyDescent="0.35">
      <c r="C7" s="18" cm="1">
        <f t="array" ref="C7">L_Dates</f>
        <v>44060</v>
      </c>
      <c r="D7" cm="1">
        <f t="array" ref="D7">SUMIFS(SELL_OUT[Ventes_volume_eq],SELL_OUT[Date_début],L_Dates,SELL_OUT[Canal],D$6,SELL_OUT[marque],S_Marque)</f>
        <v>0</v>
      </c>
      <c r="E7" cm="1">
        <f t="array" ref="E7">SUMIFS(SELL_OUT[Ventes_volume_eq],SELL_OUT[Date_début],L_Dates,SELL_OUT[Canal],E$6,SELL_OUT[marque],S_Marque)</f>
        <v>0</v>
      </c>
    </row>
    <row r="8" spans="3:5" x14ac:dyDescent="0.35">
      <c r="C8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 -&gt;</vt:lpstr>
      <vt:lpstr>SELL_OUT</vt:lpstr>
      <vt:lpstr>Settings -&gt;</vt:lpstr>
      <vt:lpstr>Paramètrage</vt:lpstr>
      <vt:lpstr>Balises</vt:lpstr>
      <vt:lpstr>Boucles</vt:lpstr>
      <vt:lpstr>Liste</vt:lpstr>
      <vt:lpstr>Tables</vt:lpstr>
      <vt:lpstr>Analyses -&gt;</vt:lpstr>
      <vt:lpstr>Analyses</vt:lpstr>
      <vt:lpstr>S_Marque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2025-10-10T11:34:23Z</dcterms:modified>
</cp:coreProperties>
</file>